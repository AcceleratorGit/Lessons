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tudent\Downloads\"/>
    </mc:Choice>
  </mc:AlternateContent>
  <xr:revisionPtr revIDLastSave="0" documentId="13_ncr:1_{82493809-D5E0-4C56-A074-D06FCDA32720}" xr6:coauthVersionLast="47" xr6:coauthVersionMax="47" xr10:uidLastSave="{00000000-0000-0000-0000-000000000000}"/>
  <workbookProtection workbookAlgorithmName="SHA-512" workbookHashValue="sSEkXZ3E3bMwvOvmlVx4TSEQ0RHbD6vN/jgHv7kBK7J33u68keVUHhhku1JCoxMzZgcz0xXfYumsAxiKSzWdkw==" workbookSaltValue="zr7756uG8f3WUUYQFq9Knw==" workbookSpinCount="100000" lockStructure="1"/>
  <bookViews>
    <workbookView xWindow="-120" yWindow="-120" windowWidth="29040" windowHeight="15840" activeTab="4" xr2:uid="{00000000-000D-0000-FFFF-FFFF00000000}"/>
  </bookViews>
  <sheets>
    <sheet name="Генерация данных" sheetId="1" r:id="rId1"/>
    <sheet name="Нормальное распределение" sheetId="2" r:id="rId2"/>
    <sheet name="Распределение Коши" sheetId="8" r:id="rId3"/>
    <sheet name="Робастность (норм.расп)" sheetId="9" r:id="rId4"/>
    <sheet name="Проверка гипотез" sheetId="7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4" i="9" l="1"/>
  <c r="C24" i="9"/>
  <c r="B24" i="9"/>
  <c r="D23" i="9"/>
  <c r="C23" i="9"/>
  <c r="B23" i="9"/>
  <c r="D24" i="8"/>
  <c r="C24" i="8"/>
  <c r="B24" i="8"/>
  <c r="D23" i="8"/>
  <c r="C23" i="8"/>
  <c r="B23" i="8"/>
  <c r="C24" i="2" l="1"/>
  <c r="D24" i="2"/>
  <c r="C23" i="2"/>
  <c r="D23" i="2"/>
  <c r="A18" i="1"/>
  <c r="A17" i="1"/>
  <c r="A13" i="1"/>
  <c r="B24" i="2" l="1"/>
  <c r="B23" i="2"/>
  <c r="A14" i="1" l="1"/>
  <c r="J6" i="1" l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A10" i="1" l="1"/>
  <c r="A9" i="1" l="1"/>
</calcChain>
</file>

<file path=xl/sharedStrings.xml><?xml version="1.0" encoding="utf-8"?>
<sst xmlns="http://schemas.openxmlformats.org/spreadsheetml/2006/main" count="89" uniqueCount="37">
  <si>
    <t>Оцениваемая величина</t>
  </si>
  <si>
    <t>Выборка с нормально распределённым шумом</t>
  </si>
  <si>
    <t>Выборка с шумом, распределённым по закону Коши</t>
  </si>
  <si>
    <t>Границы для ЭФР</t>
  </si>
  <si>
    <t>Оценки:</t>
  </si>
  <si>
    <t>Выборка</t>
  </si>
  <si>
    <t>Оценки медиан</t>
  </si>
  <si>
    <t>Мин. Знач. Выб.</t>
  </si>
  <si>
    <t>Макс. Знач. Выб.</t>
  </si>
  <si>
    <t>№ наблюдения</t>
  </si>
  <si>
    <t>Оценки средних</t>
  </si>
  <si>
    <t>Интервалы дял построения ЭФР</t>
  </si>
  <si>
    <t>Выборки</t>
  </si>
  <si>
    <t>№1 (X)</t>
  </si>
  <si>
    <t>№2(Y)</t>
  </si>
  <si>
    <t>Карман</t>
  </si>
  <si>
    <t>Еще</t>
  </si>
  <si>
    <t>Частота</t>
  </si>
  <si>
    <t>Интегральный %</t>
  </si>
  <si>
    <t>Двухвыборочный F-тест для дисперсии</t>
  </si>
  <si>
    <t>Переменная 1</t>
  </si>
  <si>
    <t>Переменная 2</t>
  </si>
  <si>
    <t>Среднее</t>
  </si>
  <si>
    <t>Дисперсия</t>
  </si>
  <si>
    <t>Наблюдения</t>
  </si>
  <si>
    <t>df</t>
  </si>
  <si>
    <t>F</t>
  </si>
  <si>
    <t>P(F&lt;=f) одностороннее</t>
  </si>
  <si>
    <t>F критическое одностороннее</t>
  </si>
  <si>
    <t>Двухвыборочный t-тест с одинаковыми дисперсиями</t>
  </si>
  <si>
    <t>Объединенная дисперсия</t>
  </si>
  <si>
    <t>Гипотетическая разность средних</t>
  </si>
  <si>
    <t>t-статистика</t>
  </si>
  <si>
    <t>P(T&lt;=t) одностороннее</t>
  </si>
  <si>
    <t>t критическое одностороннее</t>
  </si>
  <si>
    <t>P(T&lt;=t) двухстороннее</t>
  </si>
  <si>
    <t>t критическое двухстороннее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</si>
</sst>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i/>
      <sz val="12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wrapText="1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1" xfId="0" applyFill="1" applyBorder="1" applyAlignment="1"/>
    <xf numFmtId="10" fontId="0" fillId="0" borderId="0" xfId="0" applyNumberFormat="1" applyFill="1" applyBorder="1" applyAlignment="1"/>
    <xf numFmtId="10" fontId="0" fillId="0" borderId="1" xfId="0" applyNumberFormat="1" applyFill="1" applyBorder="1" applyAlignment="1"/>
    <xf numFmtId="0" fontId="0" fillId="0" borderId="0" xfId="0" applyBorder="1"/>
    <xf numFmtId="0" fontId="0" fillId="0" borderId="0" xfId="0" applyFill="1" applyBorder="1"/>
    <xf numFmtId="0" fontId="5" fillId="2" borderId="0" xfId="0" applyFont="1" applyFill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3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0" fillId="0" borderId="2" xfId="0" applyBorder="1"/>
    <xf numFmtId="0" fontId="3" fillId="0" borderId="0" xfId="0" applyFont="1" applyBorder="1"/>
    <xf numFmtId="0" fontId="1" fillId="0" borderId="0" xfId="0" applyFont="1" applyFill="1" applyBorder="1" applyAlignment="1">
      <alignment horizont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7" xfId="0" applyFont="1" applyFill="1" applyBorder="1" applyAlignment="1">
      <alignment horizontal="center"/>
    </xf>
    <xf numFmtId="0" fontId="7" fillId="0" borderId="8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ЭФР</a:t>
            </a:r>
            <a:r>
              <a:rPr lang="ru-RU" baseline="0"/>
              <a:t> данных, (номльное распределение)</a:t>
            </a:r>
            <a:endParaRPr lang="ru-RU"/>
          </a:p>
        </c:rich>
      </c:tx>
      <c:layout>
        <c:manualLayout>
          <c:xMode val="edge"/>
          <c:yMode val="edge"/>
          <c:x val="0.25983734719291152"/>
          <c:y val="2.6143790849673203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'Нормальное распределение'!$H$3:$H$23</c:f>
              <c:strCache>
                <c:ptCount val="21"/>
                <c:pt idx="0">
                  <c:v>-1,4</c:v>
                </c:pt>
                <c:pt idx="1">
                  <c:v>-1</c:v>
                </c:pt>
                <c:pt idx="2">
                  <c:v>-0,8</c:v>
                </c:pt>
                <c:pt idx="3">
                  <c:v>-0,6</c:v>
                </c:pt>
                <c:pt idx="4">
                  <c:v>-0,4</c:v>
                </c:pt>
                <c:pt idx="5">
                  <c:v>-0,2</c:v>
                </c:pt>
                <c:pt idx="6">
                  <c:v>0</c:v>
                </c:pt>
                <c:pt idx="7">
                  <c:v>0,2</c:v>
                </c:pt>
                <c:pt idx="8">
                  <c:v>0,4</c:v>
                </c:pt>
                <c:pt idx="9">
                  <c:v>0,6</c:v>
                </c:pt>
                <c:pt idx="10">
                  <c:v>0,8</c:v>
                </c:pt>
                <c:pt idx="11">
                  <c:v>1</c:v>
                </c:pt>
                <c:pt idx="12">
                  <c:v>1,2</c:v>
                </c:pt>
                <c:pt idx="13">
                  <c:v>1,4</c:v>
                </c:pt>
                <c:pt idx="14">
                  <c:v>1,6</c:v>
                </c:pt>
                <c:pt idx="15">
                  <c:v>1,8</c:v>
                </c:pt>
                <c:pt idx="16">
                  <c:v>2</c:v>
                </c:pt>
                <c:pt idx="17">
                  <c:v>2,2</c:v>
                </c:pt>
                <c:pt idx="18">
                  <c:v>2,4</c:v>
                </c:pt>
                <c:pt idx="19">
                  <c:v>2,6</c:v>
                </c:pt>
                <c:pt idx="20">
                  <c:v>Еще</c:v>
                </c:pt>
              </c:strCache>
            </c:strRef>
          </c:cat>
          <c:val>
            <c:numRef>
              <c:f>'Нормальное распределение'!$I$3:$I$23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3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9D-4715-90AA-325135CFA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886128"/>
        <c:axId val="2051874896"/>
      </c:barChart>
      <c:lineChart>
        <c:grouping val="standard"/>
        <c:varyColors val="0"/>
        <c:ser>
          <c:idx val="1"/>
          <c:order val="1"/>
          <c:tx>
            <c:v>Интегральный %</c:v>
          </c:tx>
          <c:cat>
            <c:strRef>
              <c:f>'Нормальное распределение'!$H$3:$H$23</c:f>
              <c:strCache>
                <c:ptCount val="21"/>
                <c:pt idx="0">
                  <c:v>-1,4</c:v>
                </c:pt>
                <c:pt idx="1">
                  <c:v>-1</c:v>
                </c:pt>
                <c:pt idx="2">
                  <c:v>-0,8</c:v>
                </c:pt>
                <c:pt idx="3">
                  <c:v>-0,6</c:v>
                </c:pt>
                <c:pt idx="4">
                  <c:v>-0,4</c:v>
                </c:pt>
                <c:pt idx="5">
                  <c:v>-0,2</c:v>
                </c:pt>
                <c:pt idx="6">
                  <c:v>0</c:v>
                </c:pt>
                <c:pt idx="7">
                  <c:v>0,2</c:v>
                </c:pt>
                <c:pt idx="8">
                  <c:v>0,4</c:v>
                </c:pt>
                <c:pt idx="9">
                  <c:v>0,6</c:v>
                </c:pt>
                <c:pt idx="10">
                  <c:v>0,8</c:v>
                </c:pt>
                <c:pt idx="11">
                  <c:v>1</c:v>
                </c:pt>
                <c:pt idx="12">
                  <c:v>1,2</c:v>
                </c:pt>
                <c:pt idx="13">
                  <c:v>1,4</c:v>
                </c:pt>
                <c:pt idx="14">
                  <c:v>1,6</c:v>
                </c:pt>
                <c:pt idx="15">
                  <c:v>1,8</c:v>
                </c:pt>
                <c:pt idx="16">
                  <c:v>2</c:v>
                </c:pt>
                <c:pt idx="17">
                  <c:v>2,2</c:v>
                </c:pt>
                <c:pt idx="18">
                  <c:v>2,4</c:v>
                </c:pt>
                <c:pt idx="19">
                  <c:v>2,6</c:v>
                </c:pt>
                <c:pt idx="20">
                  <c:v>Еще</c:v>
                </c:pt>
              </c:strCache>
            </c:strRef>
          </c:cat>
          <c:val>
            <c:numRef>
              <c:f>'Нормальное распределение'!$J$3:$J$23</c:f>
              <c:numCache>
                <c:formatCode>0.00%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0.1</c:v>
                </c:pt>
                <c:pt idx="5">
                  <c:v>0.1</c:v>
                </c:pt>
                <c:pt idx="6">
                  <c:v>0.2</c:v>
                </c:pt>
                <c:pt idx="7">
                  <c:v>0.3</c:v>
                </c:pt>
                <c:pt idx="8">
                  <c:v>0.35</c:v>
                </c:pt>
                <c:pt idx="9">
                  <c:v>0.4</c:v>
                </c:pt>
                <c:pt idx="10">
                  <c:v>0.4</c:v>
                </c:pt>
                <c:pt idx="11">
                  <c:v>0.45</c:v>
                </c:pt>
                <c:pt idx="12">
                  <c:v>0.55000000000000004</c:v>
                </c:pt>
                <c:pt idx="13">
                  <c:v>0.7</c:v>
                </c:pt>
                <c:pt idx="14">
                  <c:v>0.85</c:v>
                </c:pt>
                <c:pt idx="15">
                  <c:v>0.9</c:v>
                </c:pt>
                <c:pt idx="16">
                  <c:v>0.95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9D-4715-90AA-325135CFA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876560"/>
        <c:axId val="2051885712"/>
      </c:lineChart>
      <c:catAx>
        <c:axId val="20518861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Карман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51874896"/>
        <c:crosses val="autoZero"/>
        <c:auto val="1"/>
        <c:lblAlgn val="ctr"/>
        <c:lblOffset val="100"/>
        <c:noMultiLvlLbl val="0"/>
      </c:catAx>
      <c:valAx>
        <c:axId val="2051874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Частота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51886128"/>
        <c:crosses val="autoZero"/>
        <c:crossBetween val="between"/>
      </c:valAx>
      <c:valAx>
        <c:axId val="205188571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2051876560"/>
        <c:crosses val="max"/>
        <c:crossBetween val="between"/>
      </c:valAx>
      <c:catAx>
        <c:axId val="2051876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51885712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ЭФР оценок медиан, (номльное распределение)</a:t>
            </a:r>
            <a:endParaRPr lang="ru-RU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'Нормальное распределение'!$P$3:$P$23</c:f>
              <c:strCache>
                <c:ptCount val="21"/>
                <c:pt idx="0">
                  <c:v>-1,4</c:v>
                </c:pt>
                <c:pt idx="1">
                  <c:v>-1</c:v>
                </c:pt>
                <c:pt idx="2">
                  <c:v>-0,8</c:v>
                </c:pt>
                <c:pt idx="3">
                  <c:v>-0,6</c:v>
                </c:pt>
                <c:pt idx="4">
                  <c:v>-0,4</c:v>
                </c:pt>
                <c:pt idx="5">
                  <c:v>-0,2</c:v>
                </c:pt>
                <c:pt idx="6">
                  <c:v>0</c:v>
                </c:pt>
                <c:pt idx="7">
                  <c:v>0,2</c:v>
                </c:pt>
                <c:pt idx="8">
                  <c:v>0,4</c:v>
                </c:pt>
                <c:pt idx="9">
                  <c:v>0,6</c:v>
                </c:pt>
                <c:pt idx="10">
                  <c:v>0,8</c:v>
                </c:pt>
                <c:pt idx="11">
                  <c:v>1</c:v>
                </c:pt>
                <c:pt idx="12">
                  <c:v>1,2</c:v>
                </c:pt>
                <c:pt idx="13">
                  <c:v>1,4</c:v>
                </c:pt>
                <c:pt idx="14">
                  <c:v>1,6</c:v>
                </c:pt>
                <c:pt idx="15">
                  <c:v>1,8</c:v>
                </c:pt>
                <c:pt idx="16">
                  <c:v>2</c:v>
                </c:pt>
                <c:pt idx="17">
                  <c:v>2,2</c:v>
                </c:pt>
                <c:pt idx="18">
                  <c:v>2,4</c:v>
                </c:pt>
                <c:pt idx="19">
                  <c:v>2,6</c:v>
                </c:pt>
                <c:pt idx="20">
                  <c:v>Еще</c:v>
                </c:pt>
              </c:strCache>
            </c:strRef>
          </c:cat>
          <c:val>
            <c:numRef>
              <c:f>'Нормальное распределение'!$Q$3:$Q$23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5</c:v>
                </c:pt>
                <c:pt idx="11">
                  <c:v>7</c:v>
                </c:pt>
                <c:pt idx="12">
                  <c:v>4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86-48C2-9025-F96CAF8AE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744272"/>
        <c:axId val="31744688"/>
      </c:barChart>
      <c:lineChart>
        <c:grouping val="standard"/>
        <c:varyColors val="0"/>
        <c:ser>
          <c:idx val="1"/>
          <c:order val="1"/>
          <c:tx>
            <c:v>Интегральный %</c:v>
          </c:tx>
          <c:cat>
            <c:strRef>
              <c:f>'Нормальное распределение'!$P$3:$P$23</c:f>
              <c:strCache>
                <c:ptCount val="21"/>
                <c:pt idx="0">
                  <c:v>-1,4</c:v>
                </c:pt>
                <c:pt idx="1">
                  <c:v>-1</c:v>
                </c:pt>
                <c:pt idx="2">
                  <c:v>-0,8</c:v>
                </c:pt>
                <c:pt idx="3">
                  <c:v>-0,6</c:v>
                </c:pt>
                <c:pt idx="4">
                  <c:v>-0,4</c:v>
                </c:pt>
                <c:pt idx="5">
                  <c:v>-0,2</c:v>
                </c:pt>
                <c:pt idx="6">
                  <c:v>0</c:v>
                </c:pt>
                <c:pt idx="7">
                  <c:v>0,2</c:v>
                </c:pt>
                <c:pt idx="8">
                  <c:v>0,4</c:v>
                </c:pt>
                <c:pt idx="9">
                  <c:v>0,6</c:v>
                </c:pt>
                <c:pt idx="10">
                  <c:v>0,8</c:v>
                </c:pt>
                <c:pt idx="11">
                  <c:v>1</c:v>
                </c:pt>
                <c:pt idx="12">
                  <c:v>1,2</c:v>
                </c:pt>
                <c:pt idx="13">
                  <c:v>1,4</c:v>
                </c:pt>
                <c:pt idx="14">
                  <c:v>1,6</c:v>
                </c:pt>
                <c:pt idx="15">
                  <c:v>1,8</c:v>
                </c:pt>
                <c:pt idx="16">
                  <c:v>2</c:v>
                </c:pt>
                <c:pt idx="17">
                  <c:v>2,2</c:v>
                </c:pt>
                <c:pt idx="18">
                  <c:v>2,4</c:v>
                </c:pt>
                <c:pt idx="19">
                  <c:v>2,6</c:v>
                </c:pt>
                <c:pt idx="20">
                  <c:v>Еще</c:v>
                </c:pt>
              </c:strCache>
            </c:strRef>
          </c:cat>
          <c:val>
            <c:numRef>
              <c:f>'Нормальное распределение'!$R$3:$R$23</c:f>
              <c:numCache>
                <c:formatCode>0.00%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0.05</c:v>
                </c:pt>
                <c:pt idx="10">
                  <c:v>0.3</c:v>
                </c:pt>
                <c:pt idx="11">
                  <c:v>0.65</c:v>
                </c:pt>
                <c:pt idx="12">
                  <c:v>0.85</c:v>
                </c:pt>
                <c:pt idx="13">
                  <c:v>0.95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86-48C2-9025-F96CAF8AE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45104"/>
        <c:axId val="31743440"/>
      </c:lineChart>
      <c:catAx>
        <c:axId val="317442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Карман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44688"/>
        <c:crosses val="autoZero"/>
        <c:auto val="1"/>
        <c:lblAlgn val="ctr"/>
        <c:lblOffset val="100"/>
        <c:noMultiLvlLbl val="0"/>
      </c:catAx>
      <c:valAx>
        <c:axId val="317446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Частота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44272"/>
        <c:crosses val="autoZero"/>
        <c:crossBetween val="between"/>
      </c:valAx>
      <c:valAx>
        <c:axId val="317434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31745104"/>
        <c:crosses val="max"/>
        <c:crossBetween val="between"/>
      </c:valAx>
      <c:catAx>
        <c:axId val="31745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743440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800" b="1" i="0" baseline="0">
                <a:effectLst/>
              </a:rPr>
              <a:t>ЭФР средних оценок, (номльное распределение)</a:t>
            </a:r>
            <a:endParaRPr lang="ru-RU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'Нормальное распределение'!$L$3:$L$23</c:f>
              <c:strCache>
                <c:ptCount val="21"/>
                <c:pt idx="0">
                  <c:v>-1,4</c:v>
                </c:pt>
                <c:pt idx="1">
                  <c:v>-1</c:v>
                </c:pt>
                <c:pt idx="2">
                  <c:v>-0,8</c:v>
                </c:pt>
                <c:pt idx="3">
                  <c:v>-0,6</c:v>
                </c:pt>
                <c:pt idx="4">
                  <c:v>-0,4</c:v>
                </c:pt>
                <c:pt idx="5">
                  <c:v>-0,2</c:v>
                </c:pt>
                <c:pt idx="6">
                  <c:v>0</c:v>
                </c:pt>
                <c:pt idx="7">
                  <c:v>0,2</c:v>
                </c:pt>
                <c:pt idx="8">
                  <c:v>0,4</c:v>
                </c:pt>
                <c:pt idx="9">
                  <c:v>0,6</c:v>
                </c:pt>
                <c:pt idx="10">
                  <c:v>0,8</c:v>
                </c:pt>
                <c:pt idx="11">
                  <c:v>1</c:v>
                </c:pt>
                <c:pt idx="12">
                  <c:v>1,2</c:v>
                </c:pt>
                <c:pt idx="13">
                  <c:v>1,4</c:v>
                </c:pt>
                <c:pt idx="14">
                  <c:v>1,6</c:v>
                </c:pt>
                <c:pt idx="15">
                  <c:v>1,8</c:v>
                </c:pt>
                <c:pt idx="16">
                  <c:v>2</c:v>
                </c:pt>
                <c:pt idx="17">
                  <c:v>2,2</c:v>
                </c:pt>
                <c:pt idx="18">
                  <c:v>2,4</c:v>
                </c:pt>
                <c:pt idx="19">
                  <c:v>2,6</c:v>
                </c:pt>
                <c:pt idx="20">
                  <c:v>Еще</c:v>
                </c:pt>
              </c:strCache>
            </c:strRef>
          </c:cat>
          <c:val>
            <c:numRef>
              <c:f>'Нормальное распределение'!$M$3:$M$23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8</c:v>
                </c:pt>
                <c:pt idx="12">
                  <c:v>6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BE-41B6-973E-01C307236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20144"/>
        <c:axId val="82328880"/>
      </c:barChart>
      <c:lineChart>
        <c:grouping val="standard"/>
        <c:varyColors val="0"/>
        <c:ser>
          <c:idx val="1"/>
          <c:order val="1"/>
          <c:tx>
            <c:v>Интегральный %</c:v>
          </c:tx>
          <c:cat>
            <c:strRef>
              <c:f>'Нормальное распределение'!$L$3:$L$23</c:f>
              <c:strCache>
                <c:ptCount val="21"/>
                <c:pt idx="0">
                  <c:v>-1,4</c:v>
                </c:pt>
                <c:pt idx="1">
                  <c:v>-1</c:v>
                </c:pt>
                <c:pt idx="2">
                  <c:v>-0,8</c:v>
                </c:pt>
                <c:pt idx="3">
                  <c:v>-0,6</c:v>
                </c:pt>
                <c:pt idx="4">
                  <c:v>-0,4</c:v>
                </c:pt>
                <c:pt idx="5">
                  <c:v>-0,2</c:v>
                </c:pt>
                <c:pt idx="6">
                  <c:v>0</c:v>
                </c:pt>
                <c:pt idx="7">
                  <c:v>0,2</c:v>
                </c:pt>
                <c:pt idx="8">
                  <c:v>0,4</c:v>
                </c:pt>
                <c:pt idx="9">
                  <c:v>0,6</c:v>
                </c:pt>
                <c:pt idx="10">
                  <c:v>0,8</c:v>
                </c:pt>
                <c:pt idx="11">
                  <c:v>1</c:v>
                </c:pt>
                <c:pt idx="12">
                  <c:v>1,2</c:v>
                </c:pt>
                <c:pt idx="13">
                  <c:v>1,4</c:v>
                </c:pt>
                <c:pt idx="14">
                  <c:v>1,6</c:v>
                </c:pt>
                <c:pt idx="15">
                  <c:v>1,8</c:v>
                </c:pt>
                <c:pt idx="16">
                  <c:v>2</c:v>
                </c:pt>
                <c:pt idx="17">
                  <c:v>2,2</c:v>
                </c:pt>
                <c:pt idx="18">
                  <c:v>2,4</c:v>
                </c:pt>
                <c:pt idx="19">
                  <c:v>2,6</c:v>
                </c:pt>
                <c:pt idx="20">
                  <c:v>Еще</c:v>
                </c:pt>
              </c:strCache>
            </c:strRef>
          </c:cat>
          <c:val>
            <c:numRef>
              <c:f>'Нормальное распределение'!$N$3:$N$23</c:f>
              <c:numCache>
                <c:formatCode>0.00%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0.05</c:v>
                </c:pt>
                <c:pt idx="10">
                  <c:v>0.15</c:v>
                </c:pt>
                <c:pt idx="11">
                  <c:v>0.55000000000000004</c:v>
                </c:pt>
                <c:pt idx="12">
                  <c:v>0.85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BE-41B6-973E-01C307236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23056"/>
        <c:axId val="82322640"/>
      </c:lineChart>
      <c:catAx>
        <c:axId val="823201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Карман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2328880"/>
        <c:crosses val="autoZero"/>
        <c:auto val="1"/>
        <c:lblAlgn val="ctr"/>
        <c:lblOffset val="100"/>
        <c:noMultiLvlLbl val="0"/>
      </c:catAx>
      <c:valAx>
        <c:axId val="8232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Частота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2320144"/>
        <c:crosses val="autoZero"/>
        <c:crossBetween val="between"/>
      </c:valAx>
      <c:valAx>
        <c:axId val="823226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82323056"/>
        <c:crosses val="max"/>
        <c:crossBetween val="between"/>
      </c:valAx>
      <c:catAx>
        <c:axId val="82323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322640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ЭФР данных, (</a:t>
            </a:r>
            <a:r>
              <a:rPr lang="ru-RU" sz="1800" b="1" i="0" u="none" strike="noStrike" baseline="0">
                <a:effectLst/>
              </a:rPr>
              <a:t>распределение Коши</a:t>
            </a:r>
            <a:r>
              <a:rPr lang="ru-RU" sz="1800" b="1" i="0" baseline="0">
                <a:effectLst/>
              </a:rPr>
              <a:t>)</a:t>
            </a:r>
            <a:endParaRPr lang="ru-RU">
              <a:effectLst/>
            </a:endParaRPr>
          </a:p>
        </c:rich>
      </c:tx>
      <c:layout>
        <c:manualLayout>
          <c:xMode val="edge"/>
          <c:yMode val="edge"/>
          <c:x val="0.19011070110701106"/>
          <c:y val="2.684563758389261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'Распределение Коши'!$H$3:$H$34</c:f>
              <c:strCache>
                <c:ptCount val="32"/>
                <c:pt idx="0">
                  <c:v>-2,4</c:v>
                </c:pt>
                <c:pt idx="1">
                  <c:v>-2,2</c:v>
                </c:pt>
                <c:pt idx="2">
                  <c:v>-2</c:v>
                </c:pt>
                <c:pt idx="3">
                  <c:v>-1,8</c:v>
                </c:pt>
                <c:pt idx="4">
                  <c:v>-1,6</c:v>
                </c:pt>
                <c:pt idx="5">
                  <c:v>-1,4</c:v>
                </c:pt>
                <c:pt idx="6">
                  <c:v>-1,2</c:v>
                </c:pt>
                <c:pt idx="7">
                  <c:v>-1</c:v>
                </c:pt>
                <c:pt idx="8">
                  <c:v>-0,8</c:v>
                </c:pt>
                <c:pt idx="9">
                  <c:v>-0,6</c:v>
                </c:pt>
                <c:pt idx="10">
                  <c:v>-0,4</c:v>
                </c:pt>
                <c:pt idx="11">
                  <c:v>-0,2</c:v>
                </c:pt>
                <c:pt idx="12">
                  <c:v>0</c:v>
                </c:pt>
                <c:pt idx="13">
                  <c:v>0,2</c:v>
                </c:pt>
                <c:pt idx="14">
                  <c:v>0,4</c:v>
                </c:pt>
                <c:pt idx="15">
                  <c:v>0,6</c:v>
                </c:pt>
                <c:pt idx="16">
                  <c:v>0,8</c:v>
                </c:pt>
                <c:pt idx="17">
                  <c:v>1</c:v>
                </c:pt>
                <c:pt idx="18">
                  <c:v>1,2</c:v>
                </c:pt>
                <c:pt idx="19">
                  <c:v>1,4</c:v>
                </c:pt>
                <c:pt idx="20">
                  <c:v>1,6</c:v>
                </c:pt>
                <c:pt idx="21">
                  <c:v>1,8</c:v>
                </c:pt>
                <c:pt idx="22">
                  <c:v>2</c:v>
                </c:pt>
                <c:pt idx="23">
                  <c:v>2,2</c:v>
                </c:pt>
                <c:pt idx="24">
                  <c:v>2,4</c:v>
                </c:pt>
                <c:pt idx="25">
                  <c:v>2,6</c:v>
                </c:pt>
                <c:pt idx="26">
                  <c:v>2,8</c:v>
                </c:pt>
                <c:pt idx="27">
                  <c:v>3</c:v>
                </c:pt>
                <c:pt idx="28">
                  <c:v>3,2</c:v>
                </c:pt>
                <c:pt idx="29">
                  <c:v>3,4</c:v>
                </c:pt>
                <c:pt idx="30">
                  <c:v>3,6</c:v>
                </c:pt>
                <c:pt idx="31">
                  <c:v>Еще</c:v>
                </c:pt>
              </c:strCache>
            </c:strRef>
          </c:cat>
          <c:val>
            <c:numRef>
              <c:f>'Распределение Коши'!$I$3:$I$34</c:f>
              <c:numCache>
                <c:formatCode>General</c:formatCode>
                <c:ptCount val="32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1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06-43B8-83C1-D4AB603FE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898192"/>
        <c:axId val="2051880304"/>
      </c:barChart>
      <c:lineChart>
        <c:grouping val="standard"/>
        <c:varyColors val="0"/>
        <c:ser>
          <c:idx val="1"/>
          <c:order val="1"/>
          <c:tx>
            <c:v>Интегральный %</c:v>
          </c:tx>
          <c:cat>
            <c:strRef>
              <c:f>'Распределение Коши'!$H$3:$H$34</c:f>
              <c:strCache>
                <c:ptCount val="32"/>
                <c:pt idx="0">
                  <c:v>-2,4</c:v>
                </c:pt>
                <c:pt idx="1">
                  <c:v>-2,2</c:v>
                </c:pt>
                <c:pt idx="2">
                  <c:v>-2</c:v>
                </c:pt>
                <c:pt idx="3">
                  <c:v>-1,8</c:v>
                </c:pt>
                <c:pt idx="4">
                  <c:v>-1,6</c:v>
                </c:pt>
                <c:pt idx="5">
                  <c:v>-1,4</c:v>
                </c:pt>
                <c:pt idx="6">
                  <c:v>-1,2</c:v>
                </c:pt>
                <c:pt idx="7">
                  <c:v>-1</c:v>
                </c:pt>
                <c:pt idx="8">
                  <c:v>-0,8</c:v>
                </c:pt>
                <c:pt idx="9">
                  <c:v>-0,6</c:v>
                </c:pt>
                <c:pt idx="10">
                  <c:v>-0,4</c:v>
                </c:pt>
                <c:pt idx="11">
                  <c:v>-0,2</c:v>
                </c:pt>
                <c:pt idx="12">
                  <c:v>0</c:v>
                </c:pt>
                <c:pt idx="13">
                  <c:v>0,2</c:v>
                </c:pt>
                <c:pt idx="14">
                  <c:v>0,4</c:v>
                </c:pt>
                <c:pt idx="15">
                  <c:v>0,6</c:v>
                </c:pt>
                <c:pt idx="16">
                  <c:v>0,8</c:v>
                </c:pt>
                <c:pt idx="17">
                  <c:v>1</c:v>
                </c:pt>
                <c:pt idx="18">
                  <c:v>1,2</c:v>
                </c:pt>
                <c:pt idx="19">
                  <c:v>1,4</c:v>
                </c:pt>
                <c:pt idx="20">
                  <c:v>1,6</c:v>
                </c:pt>
                <c:pt idx="21">
                  <c:v>1,8</c:v>
                </c:pt>
                <c:pt idx="22">
                  <c:v>2</c:v>
                </c:pt>
                <c:pt idx="23">
                  <c:v>2,2</c:v>
                </c:pt>
                <c:pt idx="24">
                  <c:v>2,4</c:v>
                </c:pt>
                <c:pt idx="25">
                  <c:v>2,6</c:v>
                </c:pt>
                <c:pt idx="26">
                  <c:v>2,8</c:v>
                </c:pt>
                <c:pt idx="27">
                  <c:v>3</c:v>
                </c:pt>
                <c:pt idx="28">
                  <c:v>3,2</c:v>
                </c:pt>
                <c:pt idx="29">
                  <c:v>3,4</c:v>
                </c:pt>
                <c:pt idx="30">
                  <c:v>3,6</c:v>
                </c:pt>
                <c:pt idx="31">
                  <c:v>Еще</c:v>
                </c:pt>
              </c:strCache>
            </c:strRef>
          </c:cat>
          <c:val>
            <c:numRef>
              <c:f>'Распределение Коши'!$J$3:$J$34</c:f>
              <c:numCache>
                <c:formatCode>0.00%</c:formatCode>
                <c:ptCount val="32"/>
                <c:pt idx="0">
                  <c:v>0.15</c:v>
                </c:pt>
                <c:pt idx="1">
                  <c:v>0.15</c:v>
                </c:pt>
                <c:pt idx="2">
                  <c:v>0.15</c:v>
                </c:pt>
                <c:pt idx="3">
                  <c:v>0.15</c:v>
                </c:pt>
                <c:pt idx="4">
                  <c:v>0.15</c:v>
                </c:pt>
                <c:pt idx="5">
                  <c:v>0.15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0.3</c:v>
                </c:pt>
                <c:pt idx="11">
                  <c:v>0.35</c:v>
                </c:pt>
                <c:pt idx="12">
                  <c:v>0.35</c:v>
                </c:pt>
                <c:pt idx="13">
                  <c:v>0.4</c:v>
                </c:pt>
                <c:pt idx="14">
                  <c:v>0.45</c:v>
                </c:pt>
                <c:pt idx="15">
                  <c:v>0.45</c:v>
                </c:pt>
                <c:pt idx="16">
                  <c:v>0.55000000000000004</c:v>
                </c:pt>
                <c:pt idx="17">
                  <c:v>0.55000000000000004</c:v>
                </c:pt>
                <c:pt idx="18">
                  <c:v>0.6</c:v>
                </c:pt>
                <c:pt idx="19">
                  <c:v>0.75</c:v>
                </c:pt>
                <c:pt idx="20">
                  <c:v>0.8</c:v>
                </c:pt>
                <c:pt idx="21">
                  <c:v>0.8</c:v>
                </c:pt>
                <c:pt idx="22">
                  <c:v>0.8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  <c:pt idx="3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06-43B8-83C1-D4AB603FE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876976"/>
        <c:axId val="2051880720"/>
      </c:lineChart>
      <c:catAx>
        <c:axId val="20518981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Карман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51880304"/>
        <c:crosses val="autoZero"/>
        <c:auto val="1"/>
        <c:lblAlgn val="ctr"/>
        <c:lblOffset val="100"/>
        <c:noMultiLvlLbl val="0"/>
      </c:catAx>
      <c:valAx>
        <c:axId val="20518803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Частота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51898192"/>
        <c:crosses val="autoZero"/>
        <c:crossBetween val="between"/>
      </c:valAx>
      <c:valAx>
        <c:axId val="205188072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2051876976"/>
        <c:crosses val="max"/>
        <c:crossBetween val="between"/>
      </c:valAx>
      <c:catAx>
        <c:axId val="2051876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51880720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ЭФР </a:t>
            </a:r>
            <a:r>
              <a:rPr lang="ru-RU" sz="1800" b="1" i="0" u="none" strike="noStrike" baseline="0">
                <a:effectLst/>
              </a:rPr>
              <a:t>средних оценок</a:t>
            </a:r>
            <a:r>
              <a:rPr lang="ru-RU" sz="1800" b="1" i="0" baseline="0">
                <a:effectLst/>
              </a:rPr>
              <a:t>, (</a:t>
            </a:r>
            <a:r>
              <a:rPr lang="ru-RU" sz="1800" b="1" i="0" u="none" strike="noStrike" baseline="0">
                <a:effectLst/>
              </a:rPr>
              <a:t>распределение Коши</a:t>
            </a:r>
            <a:r>
              <a:rPr lang="ru-RU" sz="1800" b="1" i="0" baseline="0">
                <a:effectLst/>
              </a:rPr>
              <a:t>)</a:t>
            </a:r>
            <a:endParaRPr lang="ru-RU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'Распределение Коши'!$L$3:$L$34</c:f>
              <c:strCache>
                <c:ptCount val="32"/>
                <c:pt idx="0">
                  <c:v>-2,4</c:v>
                </c:pt>
                <c:pt idx="1">
                  <c:v>-2,2</c:v>
                </c:pt>
                <c:pt idx="2">
                  <c:v>-2</c:v>
                </c:pt>
                <c:pt idx="3">
                  <c:v>-1,8</c:v>
                </c:pt>
                <c:pt idx="4">
                  <c:v>-1,6</c:v>
                </c:pt>
                <c:pt idx="5">
                  <c:v>-1,4</c:v>
                </c:pt>
                <c:pt idx="6">
                  <c:v>-1,2</c:v>
                </c:pt>
                <c:pt idx="7">
                  <c:v>-1</c:v>
                </c:pt>
                <c:pt idx="8">
                  <c:v>-0,8</c:v>
                </c:pt>
                <c:pt idx="9">
                  <c:v>-0,6</c:v>
                </c:pt>
                <c:pt idx="10">
                  <c:v>-0,4</c:v>
                </c:pt>
                <c:pt idx="11">
                  <c:v>-0,2</c:v>
                </c:pt>
                <c:pt idx="12">
                  <c:v>0</c:v>
                </c:pt>
                <c:pt idx="13">
                  <c:v>0,2</c:v>
                </c:pt>
                <c:pt idx="14">
                  <c:v>0,4</c:v>
                </c:pt>
                <c:pt idx="15">
                  <c:v>0,6</c:v>
                </c:pt>
                <c:pt idx="16">
                  <c:v>0,8</c:v>
                </c:pt>
                <c:pt idx="17">
                  <c:v>1</c:v>
                </c:pt>
                <c:pt idx="18">
                  <c:v>1,2</c:v>
                </c:pt>
                <c:pt idx="19">
                  <c:v>1,4</c:v>
                </c:pt>
                <c:pt idx="20">
                  <c:v>1,6</c:v>
                </c:pt>
                <c:pt idx="21">
                  <c:v>1,8</c:v>
                </c:pt>
                <c:pt idx="22">
                  <c:v>2</c:v>
                </c:pt>
                <c:pt idx="23">
                  <c:v>2,2</c:v>
                </c:pt>
                <c:pt idx="24">
                  <c:v>2,4</c:v>
                </c:pt>
                <c:pt idx="25">
                  <c:v>2,6</c:v>
                </c:pt>
                <c:pt idx="26">
                  <c:v>2,8</c:v>
                </c:pt>
                <c:pt idx="27">
                  <c:v>3</c:v>
                </c:pt>
                <c:pt idx="28">
                  <c:v>3,2</c:v>
                </c:pt>
                <c:pt idx="29">
                  <c:v>3,4</c:v>
                </c:pt>
                <c:pt idx="30">
                  <c:v>3,6</c:v>
                </c:pt>
                <c:pt idx="31">
                  <c:v>Еще</c:v>
                </c:pt>
              </c:strCache>
            </c:strRef>
          </c:cat>
          <c:val>
            <c:numRef>
              <c:f>'Распределение Коши'!$M$3:$M$34</c:f>
              <c:numCache>
                <c:formatCode>General</c:formatCode>
                <c:ptCount val="32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3</c:v>
                </c:pt>
                <c:pt idx="20">
                  <c:v>2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B9-4C3E-8121-D08E2A2F0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747184"/>
        <c:axId val="1555860944"/>
      </c:barChart>
      <c:lineChart>
        <c:grouping val="standard"/>
        <c:varyColors val="0"/>
        <c:ser>
          <c:idx val="1"/>
          <c:order val="1"/>
          <c:tx>
            <c:v>Интегральный %</c:v>
          </c:tx>
          <c:cat>
            <c:strRef>
              <c:f>'Распределение Коши'!$L$3:$L$34</c:f>
              <c:strCache>
                <c:ptCount val="32"/>
                <c:pt idx="0">
                  <c:v>-2,4</c:v>
                </c:pt>
                <c:pt idx="1">
                  <c:v>-2,2</c:v>
                </c:pt>
                <c:pt idx="2">
                  <c:v>-2</c:v>
                </c:pt>
                <c:pt idx="3">
                  <c:v>-1,8</c:v>
                </c:pt>
                <c:pt idx="4">
                  <c:v>-1,6</c:v>
                </c:pt>
                <c:pt idx="5">
                  <c:v>-1,4</c:v>
                </c:pt>
                <c:pt idx="6">
                  <c:v>-1,2</c:v>
                </c:pt>
                <c:pt idx="7">
                  <c:v>-1</c:v>
                </c:pt>
                <c:pt idx="8">
                  <c:v>-0,8</c:v>
                </c:pt>
                <c:pt idx="9">
                  <c:v>-0,6</c:v>
                </c:pt>
                <c:pt idx="10">
                  <c:v>-0,4</c:v>
                </c:pt>
                <c:pt idx="11">
                  <c:v>-0,2</c:v>
                </c:pt>
                <c:pt idx="12">
                  <c:v>0</c:v>
                </c:pt>
                <c:pt idx="13">
                  <c:v>0,2</c:v>
                </c:pt>
                <c:pt idx="14">
                  <c:v>0,4</c:v>
                </c:pt>
                <c:pt idx="15">
                  <c:v>0,6</c:v>
                </c:pt>
                <c:pt idx="16">
                  <c:v>0,8</c:v>
                </c:pt>
                <c:pt idx="17">
                  <c:v>1</c:v>
                </c:pt>
                <c:pt idx="18">
                  <c:v>1,2</c:v>
                </c:pt>
                <c:pt idx="19">
                  <c:v>1,4</c:v>
                </c:pt>
                <c:pt idx="20">
                  <c:v>1,6</c:v>
                </c:pt>
                <c:pt idx="21">
                  <c:v>1,8</c:v>
                </c:pt>
                <c:pt idx="22">
                  <c:v>2</c:v>
                </c:pt>
                <c:pt idx="23">
                  <c:v>2,2</c:v>
                </c:pt>
                <c:pt idx="24">
                  <c:v>2,4</c:v>
                </c:pt>
                <c:pt idx="25">
                  <c:v>2,6</c:v>
                </c:pt>
                <c:pt idx="26">
                  <c:v>2,8</c:v>
                </c:pt>
                <c:pt idx="27">
                  <c:v>3</c:v>
                </c:pt>
                <c:pt idx="28">
                  <c:v>3,2</c:v>
                </c:pt>
                <c:pt idx="29">
                  <c:v>3,4</c:v>
                </c:pt>
                <c:pt idx="30">
                  <c:v>3,6</c:v>
                </c:pt>
                <c:pt idx="31">
                  <c:v>Еще</c:v>
                </c:pt>
              </c:strCache>
            </c:strRef>
          </c:cat>
          <c:val>
            <c:numRef>
              <c:f>'Распределение Коши'!$N$3:$N$34</c:f>
              <c:numCache>
                <c:formatCode>0.00%</c:formatCode>
                <c:ptCount val="32"/>
                <c:pt idx="0">
                  <c:v>0.05</c:v>
                </c:pt>
                <c:pt idx="1">
                  <c:v>0.05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0.15</c:v>
                </c:pt>
                <c:pt idx="10">
                  <c:v>0.2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0.4</c:v>
                </c:pt>
                <c:pt idx="16">
                  <c:v>0.4</c:v>
                </c:pt>
                <c:pt idx="17">
                  <c:v>0.45</c:v>
                </c:pt>
                <c:pt idx="18">
                  <c:v>0.55000000000000004</c:v>
                </c:pt>
                <c:pt idx="19">
                  <c:v>0.7</c:v>
                </c:pt>
                <c:pt idx="20">
                  <c:v>0.8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  <c:pt idx="3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B9-4C3E-8121-D08E2A2F0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09776"/>
        <c:axId val="33318096"/>
      </c:lineChart>
      <c:catAx>
        <c:axId val="317471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Карман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5860944"/>
        <c:crosses val="autoZero"/>
        <c:auto val="1"/>
        <c:lblAlgn val="ctr"/>
        <c:lblOffset val="100"/>
        <c:noMultiLvlLbl val="0"/>
      </c:catAx>
      <c:valAx>
        <c:axId val="1555860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Частота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47184"/>
        <c:crosses val="autoZero"/>
        <c:crossBetween val="between"/>
      </c:valAx>
      <c:valAx>
        <c:axId val="33318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33309776"/>
        <c:crosses val="max"/>
        <c:crossBetween val="between"/>
      </c:valAx>
      <c:catAx>
        <c:axId val="33309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3318096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800" b="1" i="0" baseline="0">
                <a:effectLst/>
              </a:rPr>
              <a:t>ЭФР оценок медиан, (распределение Коши)</a:t>
            </a:r>
            <a:endParaRPr lang="ru-RU">
              <a:effectLst/>
            </a:endParaRPr>
          </a:p>
        </c:rich>
      </c:tx>
      <c:layout>
        <c:manualLayout>
          <c:xMode val="edge"/>
          <c:yMode val="edge"/>
          <c:x val="0.1247867150138606"/>
          <c:y val="2.7210884353741496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'Распределение Коши'!$P$3:$P$34</c:f>
              <c:strCache>
                <c:ptCount val="32"/>
                <c:pt idx="0">
                  <c:v>-2,4</c:v>
                </c:pt>
                <c:pt idx="1">
                  <c:v>-2,2</c:v>
                </c:pt>
                <c:pt idx="2">
                  <c:v>-2</c:v>
                </c:pt>
                <c:pt idx="3">
                  <c:v>-1,8</c:v>
                </c:pt>
                <c:pt idx="4">
                  <c:v>-1,6</c:v>
                </c:pt>
                <c:pt idx="5">
                  <c:v>-1,4</c:v>
                </c:pt>
                <c:pt idx="6">
                  <c:v>-1,2</c:v>
                </c:pt>
                <c:pt idx="7">
                  <c:v>-1</c:v>
                </c:pt>
                <c:pt idx="8">
                  <c:v>-0,8</c:v>
                </c:pt>
                <c:pt idx="9">
                  <c:v>-0,6</c:v>
                </c:pt>
                <c:pt idx="10">
                  <c:v>-0,4</c:v>
                </c:pt>
                <c:pt idx="11">
                  <c:v>-0,2</c:v>
                </c:pt>
                <c:pt idx="12">
                  <c:v>0</c:v>
                </c:pt>
                <c:pt idx="13">
                  <c:v>0,2</c:v>
                </c:pt>
                <c:pt idx="14">
                  <c:v>0,4</c:v>
                </c:pt>
                <c:pt idx="15">
                  <c:v>0,6</c:v>
                </c:pt>
                <c:pt idx="16">
                  <c:v>0,8</c:v>
                </c:pt>
                <c:pt idx="17">
                  <c:v>1</c:v>
                </c:pt>
                <c:pt idx="18">
                  <c:v>1,2</c:v>
                </c:pt>
                <c:pt idx="19">
                  <c:v>1,4</c:v>
                </c:pt>
                <c:pt idx="20">
                  <c:v>1,6</c:v>
                </c:pt>
                <c:pt idx="21">
                  <c:v>1,8</c:v>
                </c:pt>
                <c:pt idx="22">
                  <c:v>2</c:v>
                </c:pt>
                <c:pt idx="23">
                  <c:v>2,2</c:v>
                </c:pt>
                <c:pt idx="24">
                  <c:v>2,4</c:v>
                </c:pt>
                <c:pt idx="25">
                  <c:v>2,6</c:v>
                </c:pt>
                <c:pt idx="26">
                  <c:v>2,8</c:v>
                </c:pt>
                <c:pt idx="27">
                  <c:v>3</c:v>
                </c:pt>
                <c:pt idx="28">
                  <c:v>3,2</c:v>
                </c:pt>
                <c:pt idx="29">
                  <c:v>3,4</c:v>
                </c:pt>
                <c:pt idx="30">
                  <c:v>3,6</c:v>
                </c:pt>
                <c:pt idx="31">
                  <c:v>Еще</c:v>
                </c:pt>
              </c:strCache>
            </c:strRef>
          </c:cat>
          <c:val>
            <c:numRef>
              <c:f>'Распределение Коши'!$Q$3:$Q$34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4</c:v>
                </c:pt>
                <c:pt idx="17">
                  <c:v>3</c:v>
                </c:pt>
                <c:pt idx="18">
                  <c:v>6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87-48EF-9549-EED0C0578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93136"/>
        <c:axId val="33318928"/>
      </c:barChart>
      <c:lineChart>
        <c:grouping val="standard"/>
        <c:varyColors val="0"/>
        <c:ser>
          <c:idx val="1"/>
          <c:order val="1"/>
          <c:tx>
            <c:v>Интегральный %</c:v>
          </c:tx>
          <c:cat>
            <c:strRef>
              <c:f>'Распределение Коши'!$P$3:$P$34</c:f>
              <c:strCache>
                <c:ptCount val="32"/>
                <c:pt idx="0">
                  <c:v>-2,4</c:v>
                </c:pt>
                <c:pt idx="1">
                  <c:v>-2,2</c:v>
                </c:pt>
                <c:pt idx="2">
                  <c:v>-2</c:v>
                </c:pt>
                <c:pt idx="3">
                  <c:v>-1,8</c:v>
                </c:pt>
                <c:pt idx="4">
                  <c:v>-1,6</c:v>
                </c:pt>
                <c:pt idx="5">
                  <c:v>-1,4</c:v>
                </c:pt>
                <c:pt idx="6">
                  <c:v>-1,2</c:v>
                </c:pt>
                <c:pt idx="7">
                  <c:v>-1</c:v>
                </c:pt>
                <c:pt idx="8">
                  <c:v>-0,8</c:v>
                </c:pt>
                <c:pt idx="9">
                  <c:v>-0,6</c:v>
                </c:pt>
                <c:pt idx="10">
                  <c:v>-0,4</c:v>
                </c:pt>
                <c:pt idx="11">
                  <c:v>-0,2</c:v>
                </c:pt>
                <c:pt idx="12">
                  <c:v>0</c:v>
                </c:pt>
                <c:pt idx="13">
                  <c:v>0,2</c:v>
                </c:pt>
                <c:pt idx="14">
                  <c:v>0,4</c:v>
                </c:pt>
                <c:pt idx="15">
                  <c:v>0,6</c:v>
                </c:pt>
                <c:pt idx="16">
                  <c:v>0,8</c:v>
                </c:pt>
                <c:pt idx="17">
                  <c:v>1</c:v>
                </c:pt>
                <c:pt idx="18">
                  <c:v>1,2</c:v>
                </c:pt>
                <c:pt idx="19">
                  <c:v>1,4</c:v>
                </c:pt>
                <c:pt idx="20">
                  <c:v>1,6</c:v>
                </c:pt>
                <c:pt idx="21">
                  <c:v>1,8</c:v>
                </c:pt>
                <c:pt idx="22">
                  <c:v>2</c:v>
                </c:pt>
                <c:pt idx="23">
                  <c:v>2,2</c:v>
                </c:pt>
                <c:pt idx="24">
                  <c:v>2,4</c:v>
                </c:pt>
                <c:pt idx="25">
                  <c:v>2,6</c:v>
                </c:pt>
                <c:pt idx="26">
                  <c:v>2,8</c:v>
                </c:pt>
                <c:pt idx="27">
                  <c:v>3</c:v>
                </c:pt>
                <c:pt idx="28">
                  <c:v>3,2</c:v>
                </c:pt>
                <c:pt idx="29">
                  <c:v>3,4</c:v>
                </c:pt>
                <c:pt idx="30">
                  <c:v>3,6</c:v>
                </c:pt>
                <c:pt idx="31">
                  <c:v>Еще</c:v>
                </c:pt>
              </c:strCache>
            </c:strRef>
          </c:cat>
          <c:val>
            <c:numRef>
              <c:f>'Распределение Коши'!$R$3:$R$34</c:f>
              <c:numCache>
                <c:formatCode>0.00%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</c:v>
                </c:pt>
                <c:pt idx="16">
                  <c:v>0.3</c:v>
                </c:pt>
                <c:pt idx="17">
                  <c:v>0.45</c:v>
                </c:pt>
                <c:pt idx="18">
                  <c:v>0.75</c:v>
                </c:pt>
                <c:pt idx="19">
                  <c:v>0.9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87-48EF-9549-EED0C0578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07280"/>
        <c:axId val="33308528"/>
      </c:lineChart>
      <c:catAx>
        <c:axId val="332931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Карман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18928"/>
        <c:crosses val="autoZero"/>
        <c:auto val="1"/>
        <c:lblAlgn val="ctr"/>
        <c:lblOffset val="100"/>
        <c:noMultiLvlLbl val="0"/>
      </c:catAx>
      <c:valAx>
        <c:axId val="33318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Частота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293136"/>
        <c:crosses val="autoZero"/>
        <c:crossBetween val="between"/>
      </c:valAx>
      <c:valAx>
        <c:axId val="3330852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33307280"/>
        <c:crosses val="max"/>
        <c:crossBetween val="between"/>
      </c:valAx>
      <c:catAx>
        <c:axId val="33307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3308528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800" b="1" i="0" baseline="0">
                <a:effectLst/>
              </a:rPr>
              <a:t>ЭФР данных, (номльное распределение)</a:t>
            </a:r>
            <a:endParaRPr lang="ru-RU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'Робастность (норм.расп)'!$H$3:$H$23</c:f>
              <c:strCache>
                <c:ptCount val="21"/>
                <c:pt idx="0">
                  <c:v>-1</c:v>
                </c:pt>
                <c:pt idx="1">
                  <c:v>-0,5</c:v>
                </c:pt>
                <c:pt idx="2">
                  <c:v>0</c:v>
                </c:pt>
                <c:pt idx="3">
                  <c:v>0,5</c:v>
                </c:pt>
                <c:pt idx="4">
                  <c:v>1</c:v>
                </c:pt>
                <c:pt idx="5">
                  <c:v>1,5</c:v>
                </c:pt>
                <c:pt idx="6">
                  <c:v>2</c:v>
                </c:pt>
                <c:pt idx="7">
                  <c:v>2,5</c:v>
                </c:pt>
                <c:pt idx="8">
                  <c:v>3</c:v>
                </c:pt>
                <c:pt idx="9">
                  <c:v>3,5</c:v>
                </c:pt>
                <c:pt idx="10">
                  <c:v>4</c:v>
                </c:pt>
                <c:pt idx="11">
                  <c:v>4,5</c:v>
                </c:pt>
                <c:pt idx="12">
                  <c:v>5</c:v>
                </c:pt>
                <c:pt idx="13">
                  <c:v>5,5</c:v>
                </c:pt>
                <c:pt idx="14">
                  <c:v>6</c:v>
                </c:pt>
                <c:pt idx="15">
                  <c:v>6,5</c:v>
                </c:pt>
                <c:pt idx="16">
                  <c:v>7</c:v>
                </c:pt>
                <c:pt idx="17">
                  <c:v>7,5</c:v>
                </c:pt>
                <c:pt idx="18">
                  <c:v>8</c:v>
                </c:pt>
                <c:pt idx="19">
                  <c:v>8,5</c:v>
                </c:pt>
                <c:pt idx="20">
                  <c:v>Еще</c:v>
                </c:pt>
              </c:strCache>
            </c:strRef>
          </c:cat>
          <c:val>
            <c:numRef>
              <c:f>'Робастность (норм.расп)'!$I$3:$I$23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</c:v>
                </c:pt>
                <c:pt idx="5">
                  <c:v>2</c:v>
                </c:pt>
                <c:pt idx="6">
                  <c:v>6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44-43CC-8E92-1BD65E456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750064"/>
        <c:axId val="84737168"/>
      </c:barChart>
      <c:lineChart>
        <c:grouping val="standard"/>
        <c:varyColors val="0"/>
        <c:ser>
          <c:idx val="1"/>
          <c:order val="1"/>
          <c:tx>
            <c:v>Интегральный %</c:v>
          </c:tx>
          <c:cat>
            <c:strRef>
              <c:f>'Робастность (норм.расп)'!$H$3:$H$23</c:f>
              <c:strCache>
                <c:ptCount val="21"/>
                <c:pt idx="0">
                  <c:v>-1</c:v>
                </c:pt>
                <c:pt idx="1">
                  <c:v>-0,5</c:v>
                </c:pt>
                <c:pt idx="2">
                  <c:v>0</c:v>
                </c:pt>
                <c:pt idx="3">
                  <c:v>0,5</c:v>
                </c:pt>
                <c:pt idx="4">
                  <c:v>1</c:v>
                </c:pt>
                <c:pt idx="5">
                  <c:v>1,5</c:v>
                </c:pt>
                <c:pt idx="6">
                  <c:v>2</c:v>
                </c:pt>
                <c:pt idx="7">
                  <c:v>2,5</c:v>
                </c:pt>
                <c:pt idx="8">
                  <c:v>3</c:v>
                </c:pt>
                <c:pt idx="9">
                  <c:v>3,5</c:v>
                </c:pt>
                <c:pt idx="10">
                  <c:v>4</c:v>
                </c:pt>
                <c:pt idx="11">
                  <c:v>4,5</c:v>
                </c:pt>
                <c:pt idx="12">
                  <c:v>5</c:v>
                </c:pt>
                <c:pt idx="13">
                  <c:v>5,5</c:v>
                </c:pt>
                <c:pt idx="14">
                  <c:v>6</c:v>
                </c:pt>
                <c:pt idx="15">
                  <c:v>6,5</c:v>
                </c:pt>
                <c:pt idx="16">
                  <c:v>7</c:v>
                </c:pt>
                <c:pt idx="17">
                  <c:v>7,5</c:v>
                </c:pt>
                <c:pt idx="18">
                  <c:v>8</c:v>
                </c:pt>
                <c:pt idx="19">
                  <c:v>8,5</c:v>
                </c:pt>
                <c:pt idx="20">
                  <c:v>Еще</c:v>
                </c:pt>
              </c:strCache>
            </c:strRef>
          </c:cat>
          <c:val>
            <c:numRef>
              <c:f>'Робастность (норм.расп)'!$J$3:$J$23</c:f>
              <c:numCache>
                <c:formatCode>0.00%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0.35</c:v>
                </c:pt>
                <c:pt idx="5">
                  <c:v>0.45</c:v>
                </c:pt>
                <c:pt idx="6">
                  <c:v>0.75</c:v>
                </c:pt>
                <c:pt idx="7">
                  <c:v>0.85</c:v>
                </c:pt>
                <c:pt idx="8">
                  <c:v>0.95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44-43CC-8E92-1BD65E456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748816"/>
        <c:axId val="84735088"/>
      </c:lineChart>
      <c:catAx>
        <c:axId val="847500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Карман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737168"/>
        <c:crosses val="autoZero"/>
        <c:auto val="1"/>
        <c:lblAlgn val="ctr"/>
        <c:lblOffset val="100"/>
        <c:noMultiLvlLbl val="0"/>
      </c:catAx>
      <c:valAx>
        <c:axId val="84737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Частота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750064"/>
        <c:crosses val="autoZero"/>
        <c:crossBetween val="between"/>
      </c:valAx>
      <c:valAx>
        <c:axId val="8473508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84748816"/>
        <c:crosses val="max"/>
        <c:crossBetween val="between"/>
      </c:valAx>
      <c:catAx>
        <c:axId val="84748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735088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ЭФР средних оценок, (номльное распределение с выбросами)</a:t>
            </a:r>
            <a:endParaRPr lang="ru-RU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'Робастность (норм.расп)'!$L$3:$L$23</c:f>
              <c:strCache>
                <c:ptCount val="21"/>
                <c:pt idx="0">
                  <c:v>-1</c:v>
                </c:pt>
                <c:pt idx="1">
                  <c:v>-0,5</c:v>
                </c:pt>
                <c:pt idx="2">
                  <c:v>0</c:v>
                </c:pt>
                <c:pt idx="3">
                  <c:v>0,5</c:v>
                </c:pt>
                <c:pt idx="4">
                  <c:v>1</c:v>
                </c:pt>
                <c:pt idx="5">
                  <c:v>1,5</c:v>
                </c:pt>
                <c:pt idx="6">
                  <c:v>2</c:v>
                </c:pt>
                <c:pt idx="7">
                  <c:v>2,5</c:v>
                </c:pt>
                <c:pt idx="8">
                  <c:v>3</c:v>
                </c:pt>
                <c:pt idx="9">
                  <c:v>3,5</c:v>
                </c:pt>
                <c:pt idx="10">
                  <c:v>4</c:v>
                </c:pt>
                <c:pt idx="11">
                  <c:v>4,5</c:v>
                </c:pt>
                <c:pt idx="12">
                  <c:v>5</c:v>
                </c:pt>
                <c:pt idx="13">
                  <c:v>5,5</c:v>
                </c:pt>
                <c:pt idx="14">
                  <c:v>6</c:v>
                </c:pt>
                <c:pt idx="15">
                  <c:v>6,5</c:v>
                </c:pt>
                <c:pt idx="16">
                  <c:v>7</c:v>
                </c:pt>
                <c:pt idx="17">
                  <c:v>7,5</c:v>
                </c:pt>
                <c:pt idx="18">
                  <c:v>8</c:v>
                </c:pt>
                <c:pt idx="19">
                  <c:v>8,5</c:v>
                </c:pt>
                <c:pt idx="20">
                  <c:v>Еще</c:v>
                </c:pt>
              </c:strCache>
            </c:strRef>
          </c:cat>
          <c:val>
            <c:numRef>
              <c:f>'Робастность (норм.расп)'!$M$3:$M$23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7</c:v>
                </c:pt>
                <c:pt idx="7">
                  <c:v>5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FE-42C4-99EE-72C32D0CE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728848"/>
        <c:axId val="84764624"/>
      </c:barChart>
      <c:lineChart>
        <c:grouping val="standard"/>
        <c:varyColors val="0"/>
        <c:ser>
          <c:idx val="1"/>
          <c:order val="1"/>
          <c:tx>
            <c:v>Интегральный %</c:v>
          </c:tx>
          <c:cat>
            <c:strRef>
              <c:f>'Робастность (норм.расп)'!$L$3:$L$23</c:f>
              <c:strCache>
                <c:ptCount val="21"/>
                <c:pt idx="0">
                  <c:v>-1</c:v>
                </c:pt>
                <c:pt idx="1">
                  <c:v>-0,5</c:v>
                </c:pt>
                <c:pt idx="2">
                  <c:v>0</c:v>
                </c:pt>
                <c:pt idx="3">
                  <c:v>0,5</c:v>
                </c:pt>
                <c:pt idx="4">
                  <c:v>1</c:v>
                </c:pt>
                <c:pt idx="5">
                  <c:v>1,5</c:v>
                </c:pt>
                <c:pt idx="6">
                  <c:v>2</c:v>
                </c:pt>
                <c:pt idx="7">
                  <c:v>2,5</c:v>
                </c:pt>
                <c:pt idx="8">
                  <c:v>3</c:v>
                </c:pt>
                <c:pt idx="9">
                  <c:v>3,5</c:v>
                </c:pt>
                <c:pt idx="10">
                  <c:v>4</c:v>
                </c:pt>
                <c:pt idx="11">
                  <c:v>4,5</c:v>
                </c:pt>
                <c:pt idx="12">
                  <c:v>5</c:v>
                </c:pt>
                <c:pt idx="13">
                  <c:v>5,5</c:v>
                </c:pt>
                <c:pt idx="14">
                  <c:v>6</c:v>
                </c:pt>
                <c:pt idx="15">
                  <c:v>6,5</c:v>
                </c:pt>
                <c:pt idx="16">
                  <c:v>7</c:v>
                </c:pt>
                <c:pt idx="17">
                  <c:v>7,5</c:v>
                </c:pt>
                <c:pt idx="18">
                  <c:v>8</c:v>
                </c:pt>
                <c:pt idx="19">
                  <c:v>8,5</c:v>
                </c:pt>
                <c:pt idx="20">
                  <c:v>Еще</c:v>
                </c:pt>
              </c:strCache>
            </c:strRef>
          </c:cat>
          <c:val>
            <c:numRef>
              <c:f>'Робастность (норм.расп)'!$N$3:$N$23</c:f>
              <c:numCache>
                <c:formatCode>0.00%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0.05</c:v>
                </c:pt>
                <c:pt idx="3">
                  <c:v>0.15</c:v>
                </c:pt>
                <c:pt idx="4">
                  <c:v>0.15</c:v>
                </c:pt>
                <c:pt idx="5">
                  <c:v>0.25</c:v>
                </c:pt>
                <c:pt idx="6">
                  <c:v>0.6</c:v>
                </c:pt>
                <c:pt idx="7">
                  <c:v>0.85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FE-42C4-99EE-72C32D0CE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759632"/>
        <c:axId val="84777520"/>
      </c:lineChart>
      <c:catAx>
        <c:axId val="847288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Карман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764624"/>
        <c:crosses val="autoZero"/>
        <c:auto val="1"/>
        <c:lblAlgn val="ctr"/>
        <c:lblOffset val="100"/>
        <c:noMultiLvlLbl val="0"/>
      </c:catAx>
      <c:valAx>
        <c:axId val="847646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Частота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728848"/>
        <c:crosses val="autoZero"/>
        <c:crossBetween val="between"/>
      </c:valAx>
      <c:valAx>
        <c:axId val="8477752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84759632"/>
        <c:crosses val="max"/>
        <c:crossBetween val="between"/>
      </c:valAx>
      <c:catAx>
        <c:axId val="84759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777520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800" b="1" i="0" baseline="0">
                <a:effectLst/>
              </a:rPr>
              <a:t>ЭФР оценок медиан, (номльное распределение </a:t>
            </a:r>
            <a:r>
              <a:rPr lang="ru-RU" sz="1800" b="1" i="0" u="none" strike="noStrike" baseline="0">
                <a:effectLst/>
              </a:rPr>
              <a:t>с выбросами</a:t>
            </a:r>
            <a:r>
              <a:rPr lang="ru-RU" sz="1800" b="1" i="0" baseline="0">
                <a:effectLst/>
              </a:rPr>
              <a:t>)</a:t>
            </a:r>
            <a:endParaRPr lang="ru-RU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'Робастность (норм.расп)'!$P$3:$P$23</c:f>
              <c:strCache>
                <c:ptCount val="21"/>
                <c:pt idx="0">
                  <c:v>-1</c:v>
                </c:pt>
                <c:pt idx="1">
                  <c:v>-0,5</c:v>
                </c:pt>
                <c:pt idx="2">
                  <c:v>0</c:v>
                </c:pt>
                <c:pt idx="3">
                  <c:v>0,5</c:v>
                </c:pt>
                <c:pt idx="4">
                  <c:v>1</c:v>
                </c:pt>
                <c:pt idx="5">
                  <c:v>1,5</c:v>
                </c:pt>
                <c:pt idx="6">
                  <c:v>2</c:v>
                </c:pt>
                <c:pt idx="7">
                  <c:v>2,5</c:v>
                </c:pt>
                <c:pt idx="8">
                  <c:v>3</c:v>
                </c:pt>
                <c:pt idx="9">
                  <c:v>3,5</c:v>
                </c:pt>
                <c:pt idx="10">
                  <c:v>4</c:v>
                </c:pt>
                <c:pt idx="11">
                  <c:v>4,5</c:v>
                </c:pt>
                <c:pt idx="12">
                  <c:v>5</c:v>
                </c:pt>
                <c:pt idx="13">
                  <c:v>5,5</c:v>
                </c:pt>
                <c:pt idx="14">
                  <c:v>6</c:v>
                </c:pt>
                <c:pt idx="15">
                  <c:v>6,5</c:v>
                </c:pt>
                <c:pt idx="16">
                  <c:v>7</c:v>
                </c:pt>
                <c:pt idx="17">
                  <c:v>7,5</c:v>
                </c:pt>
                <c:pt idx="18">
                  <c:v>8</c:v>
                </c:pt>
                <c:pt idx="19">
                  <c:v>8,5</c:v>
                </c:pt>
                <c:pt idx="20">
                  <c:v>Еще</c:v>
                </c:pt>
              </c:strCache>
            </c:strRef>
          </c:cat>
          <c:val>
            <c:numRef>
              <c:f>'Робастность (норм.расп)'!$Q$3:$Q$23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10</c:v>
                </c:pt>
                <c:pt idx="5">
                  <c:v>6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6D-463A-913B-1CE9D65E4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760880"/>
        <c:axId val="84773776"/>
      </c:barChart>
      <c:lineChart>
        <c:grouping val="standard"/>
        <c:varyColors val="0"/>
        <c:ser>
          <c:idx val="1"/>
          <c:order val="1"/>
          <c:tx>
            <c:v>Интегральный %</c:v>
          </c:tx>
          <c:cat>
            <c:strRef>
              <c:f>'Робастность (норм.расп)'!$P$3:$P$23</c:f>
              <c:strCache>
                <c:ptCount val="21"/>
                <c:pt idx="0">
                  <c:v>-1</c:v>
                </c:pt>
                <c:pt idx="1">
                  <c:v>-0,5</c:v>
                </c:pt>
                <c:pt idx="2">
                  <c:v>0</c:v>
                </c:pt>
                <c:pt idx="3">
                  <c:v>0,5</c:v>
                </c:pt>
                <c:pt idx="4">
                  <c:v>1</c:v>
                </c:pt>
                <c:pt idx="5">
                  <c:v>1,5</c:v>
                </c:pt>
                <c:pt idx="6">
                  <c:v>2</c:v>
                </c:pt>
                <c:pt idx="7">
                  <c:v>2,5</c:v>
                </c:pt>
                <c:pt idx="8">
                  <c:v>3</c:v>
                </c:pt>
                <c:pt idx="9">
                  <c:v>3,5</c:v>
                </c:pt>
                <c:pt idx="10">
                  <c:v>4</c:v>
                </c:pt>
                <c:pt idx="11">
                  <c:v>4,5</c:v>
                </c:pt>
                <c:pt idx="12">
                  <c:v>5</c:v>
                </c:pt>
                <c:pt idx="13">
                  <c:v>5,5</c:v>
                </c:pt>
                <c:pt idx="14">
                  <c:v>6</c:v>
                </c:pt>
                <c:pt idx="15">
                  <c:v>6,5</c:v>
                </c:pt>
                <c:pt idx="16">
                  <c:v>7</c:v>
                </c:pt>
                <c:pt idx="17">
                  <c:v>7,5</c:v>
                </c:pt>
                <c:pt idx="18">
                  <c:v>8</c:v>
                </c:pt>
                <c:pt idx="19">
                  <c:v>8,5</c:v>
                </c:pt>
                <c:pt idx="20">
                  <c:v>Еще</c:v>
                </c:pt>
              </c:strCache>
            </c:strRef>
          </c:cat>
          <c:val>
            <c:numRef>
              <c:f>'Робастность (норм.расп)'!$R$3:$R$23</c:f>
              <c:numCache>
                <c:formatCode>0.00%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0.6</c:v>
                </c:pt>
                <c:pt idx="5">
                  <c:v>0.9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6D-463A-913B-1CE9D65E4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761296"/>
        <c:axId val="84766704"/>
      </c:lineChart>
      <c:catAx>
        <c:axId val="847608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Карман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773776"/>
        <c:crosses val="autoZero"/>
        <c:auto val="1"/>
        <c:lblAlgn val="ctr"/>
        <c:lblOffset val="100"/>
        <c:noMultiLvlLbl val="0"/>
      </c:catAx>
      <c:valAx>
        <c:axId val="84773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Частота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760880"/>
        <c:crosses val="autoZero"/>
        <c:crossBetween val="between"/>
      </c:valAx>
      <c:valAx>
        <c:axId val="8476670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84761296"/>
        <c:crosses val="max"/>
        <c:crossBetween val="between"/>
      </c:valAx>
      <c:catAx>
        <c:axId val="847612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766704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19050</xdr:rowOff>
        </xdr:from>
        <xdr:to>
          <xdr:col>1</xdr:col>
          <xdr:colOff>1638300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выборки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</xdr:row>
          <xdr:rowOff>0</xdr:rowOff>
        </xdr:from>
        <xdr:to>
          <xdr:col>2</xdr:col>
          <xdr:colOff>1676400</xdr:colOff>
          <xdr:row>3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оценки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9525</xdr:rowOff>
        </xdr:from>
        <xdr:to>
          <xdr:col>4</xdr:col>
          <xdr:colOff>762000</xdr:colOff>
          <xdr:row>3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последние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значения оценок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123825</xdr:colOff>
      <xdr:row>0</xdr:row>
      <xdr:rowOff>228600</xdr:rowOff>
    </xdr:from>
    <xdr:to>
      <xdr:col>23</xdr:col>
      <xdr:colOff>295276</xdr:colOff>
      <xdr:row>14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D487F66C-A82C-4FCC-8EA5-61FAF5283F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133350</xdr:colOff>
      <xdr:row>27</xdr:row>
      <xdr:rowOff>38099</xdr:rowOff>
    </xdr:from>
    <xdr:to>
      <xdr:col>23</xdr:col>
      <xdr:colOff>285751</xdr:colOff>
      <xdr:row>38</xdr:row>
      <xdr:rowOff>76200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CBFE4683-1570-40F9-9304-237771E2E3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133351</xdr:colOff>
      <xdr:row>14</xdr:row>
      <xdr:rowOff>142875</xdr:rowOff>
    </xdr:from>
    <xdr:to>
      <xdr:col>23</xdr:col>
      <xdr:colOff>295276</xdr:colOff>
      <xdr:row>26</xdr:row>
      <xdr:rowOff>152400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BAC84CB7-014C-4966-A099-F71366D4A6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76200</xdr:colOff>
      <xdr:row>0</xdr:row>
      <xdr:rowOff>304800</xdr:rowOff>
    </xdr:from>
    <xdr:to>
      <xdr:col>23</xdr:col>
      <xdr:colOff>333375</xdr:colOff>
      <xdr:row>14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52E3DAD-221A-4049-B6CE-A755523588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85726</xdr:colOff>
      <xdr:row>14</xdr:row>
      <xdr:rowOff>190501</xdr:rowOff>
    </xdr:from>
    <xdr:to>
      <xdr:col>23</xdr:col>
      <xdr:colOff>323851</xdr:colOff>
      <xdr:row>29</xdr:row>
      <xdr:rowOff>152400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D6EDDDB-4971-4A5A-AD2D-4BB8441343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95250</xdr:colOff>
      <xdr:row>30</xdr:row>
      <xdr:rowOff>133350</xdr:rowOff>
    </xdr:from>
    <xdr:to>
      <xdr:col>23</xdr:col>
      <xdr:colOff>323851</xdr:colOff>
      <xdr:row>44</xdr:row>
      <xdr:rowOff>123825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60577CE-6B47-4EC1-B691-5AF773AEF9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200025</xdr:colOff>
      <xdr:row>0</xdr:row>
      <xdr:rowOff>400049</xdr:rowOff>
    </xdr:from>
    <xdr:to>
      <xdr:col>23</xdr:col>
      <xdr:colOff>581025</xdr:colOff>
      <xdr:row>19</xdr:row>
      <xdr:rowOff>133349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79260DD2-938D-49EE-9659-3DC9456FE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171450</xdr:colOff>
      <xdr:row>20</xdr:row>
      <xdr:rowOff>28575</xdr:rowOff>
    </xdr:from>
    <xdr:to>
      <xdr:col>23</xdr:col>
      <xdr:colOff>609600</xdr:colOff>
      <xdr:row>40</xdr:row>
      <xdr:rowOff>38100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B42FF937-23FD-4B28-975C-B0D4C5AE5E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171450</xdr:colOff>
      <xdr:row>40</xdr:row>
      <xdr:rowOff>161925</xdr:rowOff>
    </xdr:from>
    <xdr:to>
      <xdr:col>24</xdr:col>
      <xdr:colOff>28575</xdr:colOff>
      <xdr:row>61</xdr:row>
      <xdr:rowOff>161925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BAA40CAB-C614-441A-83ED-41B1AAD5DC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5:J86"/>
  <sheetViews>
    <sheetView workbookViewId="0">
      <selection activeCell="F6" sqref="F6:F25"/>
    </sheetView>
  </sheetViews>
  <sheetFormatPr defaultRowHeight="15" x14ac:dyDescent="0.25"/>
  <cols>
    <col min="1" max="1" width="18.85546875" customWidth="1"/>
    <col min="2" max="2" width="27" customWidth="1"/>
    <col min="3" max="3" width="33.28515625" customWidth="1"/>
    <col min="4" max="4" width="13.85546875" customWidth="1"/>
    <col min="5" max="8" width="27.28515625" customWidth="1"/>
    <col min="9" max="9" width="16.85546875" customWidth="1"/>
    <col min="10" max="10" width="17.28515625" customWidth="1"/>
  </cols>
  <sheetData>
    <row r="5" spans="1:10" ht="45.75" customHeight="1" x14ac:dyDescent="0.25">
      <c r="A5" s="9" t="s">
        <v>0</v>
      </c>
      <c r="B5" s="9" t="s">
        <v>1</v>
      </c>
      <c r="C5" s="9" t="s">
        <v>2</v>
      </c>
      <c r="E5" s="11">
        <v>1.9636941810859039</v>
      </c>
      <c r="F5" s="11">
        <v>0.7597130246957583</v>
      </c>
      <c r="G5" s="11">
        <v>2.0221773276678641</v>
      </c>
      <c r="H5" s="11">
        <v>1.2717030097388853</v>
      </c>
      <c r="I5" s="1"/>
      <c r="J5" s="1" t="s">
        <v>3</v>
      </c>
    </row>
    <row r="6" spans="1:10" ht="15.75" x14ac:dyDescent="0.25">
      <c r="A6" s="12">
        <v>1</v>
      </c>
      <c r="B6" s="12">
        <v>1.5676381113753954</v>
      </c>
      <c r="C6" s="12">
        <v>9.6322536895996969</v>
      </c>
      <c r="E6">
        <v>2.2378918748753831</v>
      </c>
      <c r="F6">
        <v>1.3780842369093318</v>
      </c>
      <c r="G6">
        <v>0.87702027686950412</v>
      </c>
      <c r="H6">
        <v>0.8859198036924758</v>
      </c>
      <c r="J6">
        <f>A6-4</f>
        <v>-3</v>
      </c>
    </row>
    <row r="7" spans="1:10" ht="15.75" x14ac:dyDescent="0.25">
      <c r="B7" s="12">
        <v>0.58337128231796576</v>
      </c>
      <c r="C7" s="12">
        <v>0.78974359001920635</v>
      </c>
      <c r="E7">
        <v>1.0987709504885064</v>
      </c>
      <c r="F7">
        <v>0.94454833755931955</v>
      </c>
      <c r="G7">
        <v>4.4666134594555631</v>
      </c>
      <c r="H7">
        <v>1.5965708934057148</v>
      </c>
      <c r="J7">
        <f>J6+0.1</f>
        <v>-2.9</v>
      </c>
    </row>
    <row r="8" spans="1:10" ht="15.75" x14ac:dyDescent="0.25">
      <c r="A8" s="10" t="s">
        <v>4</v>
      </c>
      <c r="B8" s="12">
        <v>0.5992073375026048</v>
      </c>
      <c r="C8" s="12">
        <v>-54.538649741285553</v>
      </c>
      <c r="E8">
        <v>1.6551592528092285</v>
      </c>
      <c r="F8">
        <v>0.61847392685648017</v>
      </c>
      <c r="G8">
        <v>-0.41564193844598901</v>
      </c>
      <c r="H8">
        <v>1.0252775838505297</v>
      </c>
      <c r="J8">
        <f t="shared" ref="J8:J71" si="0">J7+0.1</f>
        <v>-2.8</v>
      </c>
    </row>
    <row r="9" spans="1:10" ht="15.75" x14ac:dyDescent="0.25">
      <c r="A9" s="12">
        <f ca="1">NORMINV(RAND(),A6,1)</f>
        <v>1.654672306225601</v>
      </c>
      <c r="B9" s="12">
        <v>1.359686875317921</v>
      </c>
      <c r="C9" s="12">
        <v>0.98746106327024152</v>
      </c>
      <c r="E9">
        <v>2.3417464556964092</v>
      </c>
      <c r="F9">
        <v>1.0853311049033236</v>
      </c>
      <c r="G9">
        <v>1.2554885847465298</v>
      </c>
      <c r="H9">
        <v>0.36649437357664544</v>
      </c>
      <c r="J9">
        <f t="shared" si="0"/>
        <v>-2.6999999999999997</v>
      </c>
    </row>
    <row r="10" spans="1:10" ht="15.75" x14ac:dyDescent="0.25">
      <c r="A10" s="12">
        <f ca="1">TAN((RAND()-0.5)*3.1415926)+A6</f>
        <v>1.0192023382637574</v>
      </c>
      <c r="B10" s="12">
        <v>0.59034606773154419</v>
      </c>
      <c r="C10" s="12">
        <v>2.7459562785830105</v>
      </c>
      <c r="E10">
        <v>2.756060411743289</v>
      </c>
      <c r="F10">
        <v>1.1798879708663597</v>
      </c>
      <c r="G10">
        <v>-6.1021686398024154E-2</v>
      </c>
      <c r="H10">
        <v>1.1859275694925988</v>
      </c>
      <c r="J10">
        <f t="shared" si="0"/>
        <v>-2.5999999999999996</v>
      </c>
    </row>
    <row r="11" spans="1:10" ht="15.75" x14ac:dyDescent="0.25">
      <c r="A11" s="12"/>
      <c r="B11" s="12">
        <v>0.70364595390336349</v>
      </c>
      <c r="C11" s="12">
        <v>-2.2412342206662212</v>
      </c>
      <c r="E11">
        <v>-0.46576247430791423</v>
      </c>
      <c r="F11">
        <v>0.33477176111902723</v>
      </c>
      <c r="G11">
        <v>0.54592808433093865</v>
      </c>
      <c r="H11">
        <v>1.0748597629723806</v>
      </c>
      <c r="J11">
        <f t="shared" si="0"/>
        <v>-2.4999999999999996</v>
      </c>
    </row>
    <row r="12" spans="1:10" ht="15.75" x14ac:dyDescent="0.25">
      <c r="A12" s="12"/>
      <c r="B12" s="12">
        <v>0.87435634919121197</v>
      </c>
      <c r="C12" s="12">
        <v>-0.16262165019118258</v>
      </c>
      <c r="E12">
        <v>2.1317309886073779</v>
      </c>
      <c r="F12">
        <v>0.94802043038492767</v>
      </c>
      <c r="G12">
        <v>-4.5753987497018347</v>
      </c>
      <c r="H12">
        <v>0.52673911023816578</v>
      </c>
      <c r="J12">
        <f t="shared" si="0"/>
        <v>-2.3999999999999995</v>
      </c>
    </row>
    <row r="13" spans="1:10" ht="15.75" x14ac:dyDescent="0.25">
      <c r="A13" s="12">
        <f>AVERAGE(B6:B25)</f>
        <v>1.4862162281291351</v>
      </c>
      <c r="B13" s="12">
        <v>1.5180471144661425</v>
      </c>
      <c r="C13" s="12">
        <v>-0.61520015725449073</v>
      </c>
      <c r="E13">
        <v>2.25013080858474</v>
      </c>
      <c r="F13">
        <v>1.0133247403542684</v>
      </c>
      <c r="G13">
        <v>1.6188341760548597</v>
      </c>
      <c r="H13">
        <v>1.218227324735492</v>
      </c>
      <c r="J13">
        <f t="shared" si="0"/>
        <v>-2.2999999999999994</v>
      </c>
    </row>
    <row r="14" spans="1:10" ht="15.75" x14ac:dyDescent="0.25">
      <c r="A14" s="12">
        <f>MEDIAN(B6:B25)</f>
        <v>1.5428426129207691</v>
      </c>
      <c r="B14" s="12">
        <v>2.5685704696077591</v>
      </c>
      <c r="C14" s="12">
        <v>1.3980165351026534</v>
      </c>
      <c r="E14">
        <v>2.2922906967324126</v>
      </c>
      <c r="F14">
        <v>0.94705746837906912</v>
      </c>
      <c r="G14">
        <v>-2.5625252855425202</v>
      </c>
      <c r="H14">
        <v>0.81939388798752022</v>
      </c>
      <c r="J14">
        <f t="shared" si="0"/>
        <v>-2.1999999999999993</v>
      </c>
    </row>
    <row r="15" spans="1:10" ht="15.75" x14ac:dyDescent="0.25">
      <c r="A15" s="12"/>
      <c r="B15" s="12">
        <v>2.5651570990252353</v>
      </c>
      <c r="C15" s="12">
        <v>1.8778009772000779</v>
      </c>
      <c r="E15">
        <v>1.6058194001378063</v>
      </c>
      <c r="F15">
        <v>1.1054651746750621</v>
      </c>
      <c r="G15">
        <v>0.84111674892670918</v>
      </c>
      <c r="H15">
        <v>0.84519862312206939</v>
      </c>
      <c r="J15">
        <f t="shared" si="0"/>
        <v>-2.0999999999999992</v>
      </c>
    </row>
    <row r="16" spans="1:10" ht="15.75" x14ac:dyDescent="0.25">
      <c r="A16" s="12"/>
      <c r="B16" s="12">
        <v>1.0016252912901136</v>
      </c>
      <c r="C16" s="12">
        <v>15.073867987908592</v>
      </c>
      <c r="E16">
        <v>1.2933559427389669</v>
      </c>
      <c r="F16">
        <v>0.79816417602549117</v>
      </c>
      <c r="G16">
        <v>3.7496034113198156</v>
      </c>
      <c r="H16">
        <v>1.2148437898475239</v>
      </c>
      <c r="J16">
        <f t="shared" si="0"/>
        <v>-1.9999999999999991</v>
      </c>
    </row>
    <row r="17" spans="1:10" ht="15.75" x14ac:dyDescent="0.25">
      <c r="A17" s="12">
        <f>AVERAGE(C5:C26)</f>
        <v>-0.35416860866873706</v>
      </c>
      <c r="B17" s="12">
        <v>2.2887870030142041</v>
      </c>
      <c r="C17" s="12">
        <v>0.95477900473819011</v>
      </c>
      <c r="E17">
        <v>0.20014324136682521</v>
      </c>
      <c r="F17">
        <v>0.34722612765770872</v>
      </c>
      <c r="G17">
        <v>1.728608975762647</v>
      </c>
      <c r="H17">
        <v>1.4170066826513006</v>
      </c>
      <c r="J17">
        <f t="shared" si="0"/>
        <v>-1.899999999999999</v>
      </c>
    </row>
    <row r="18" spans="1:10" ht="15.75" x14ac:dyDescent="0.25">
      <c r="A18" s="12">
        <f>MEDIAN(C5:C26)</f>
        <v>1.1133407200380756</v>
      </c>
      <c r="B18" s="12">
        <v>3.1649290669299401</v>
      </c>
      <c r="C18" s="12">
        <v>0.83739392353251807</v>
      </c>
      <c r="E18">
        <v>1.7596033569710818</v>
      </c>
      <c r="F18">
        <v>1.5027559966603299</v>
      </c>
      <c r="G18">
        <v>1.5786261203683776</v>
      </c>
      <c r="H18">
        <v>0.87968193969071162</v>
      </c>
      <c r="J18">
        <f t="shared" si="0"/>
        <v>-1.7999999999999989</v>
      </c>
    </row>
    <row r="19" spans="1:10" ht="15.75" x14ac:dyDescent="0.25">
      <c r="B19" s="12">
        <v>0.60471150702575061</v>
      </c>
      <c r="C19" s="12">
        <v>8.2339392968638379</v>
      </c>
      <c r="E19">
        <v>2.8122765486653356</v>
      </c>
      <c r="F19">
        <v>0.62784325493257742</v>
      </c>
      <c r="G19">
        <v>0.22621634785874786</v>
      </c>
      <c r="H19">
        <v>1.2495225777006658</v>
      </c>
      <c r="J19">
        <f t="shared" si="0"/>
        <v>-1.6999999999999988</v>
      </c>
    </row>
    <row r="20" spans="1:10" ht="15.75" x14ac:dyDescent="0.25">
      <c r="B20" s="12">
        <v>1.8993025584821122</v>
      </c>
      <c r="C20" s="12">
        <v>1.7001631871536251</v>
      </c>
      <c r="E20">
        <v>1.8378174189741627</v>
      </c>
      <c r="F20">
        <v>0.73474014855938052</v>
      </c>
      <c r="G20">
        <v>0.28230440711353505</v>
      </c>
      <c r="H20">
        <v>0.54568135023471487</v>
      </c>
      <c r="J20">
        <f t="shared" si="0"/>
        <v>-1.5999999999999988</v>
      </c>
    </row>
    <row r="21" spans="1:10" ht="15.75" x14ac:dyDescent="0.25">
      <c r="B21" s="12">
        <v>2.1959701560856244</v>
      </c>
      <c r="C21" s="12">
        <v>1.2392203768059096</v>
      </c>
      <c r="E21">
        <v>1.7949764544862632</v>
      </c>
      <c r="F21">
        <v>0.84522017581613196</v>
      </c>
      <c r="G21">
        <v>1.2595241109583841</v>
      </c>
      <c r="H21">
        <v>1.5460341624882887</v>
      </c>
      <c r="J21">
        <f t="shared" si="0"/>
        <v>-1.4999999999999987</v>
      </c>
    </row>
    <row r="22" spans="1:10" ht="15.75" x14ac:dyDescent="0.25">
      <c r="B22" s="12">
        <v>1.5928976709926614</v>
      </c>
      <c r="C22" s="12">
        <v>1.7330521502092595</v>
      </c>
      <c r="E22">
        <v>1.5488782319043946</v>
      </c>
      <c r="F22">
        <v>0.86789085172295577</v>
      </c>
      <c r="G22">
        <v>3.9231338009568271</v>
      </c>
      <c r="H22">
        <v>1.6205530557263819</v>
      </c>
      <c r="J22">
        <f t="shared" si="0"/>
        <v>-1.3999999999999986</v>
      </c>
    </row>
    <row r="23" spans="1:10" ht="15.75" x14ac:dyDescent="0.25">
      <c r="B23" s="12">
        <v>0.70237673207625551</v>
      </c>
      <c r="C23" s="12">
        <v>0.42823666505626834</v>
      </c>
      <c r="E23">
        <v>2.6486594253519078</v>
      </c>
      <c r="F23">
        <v>1.4144426071446039</v>
      </c>
      <c r="G23">
        <v>2.0745264312645633</v>
      </c>
      <c r="H23">
        <v>0.65580236013005055</v>
      </c>
      <c r="J23">
        <f t="shared" si="0"/>
        <v>-1.2999999999999985</v>
      </c>
    </row>
    <row r="24" spans="1:10" ht="15.75" x14ac:dyDescent="0.25">
      <c r="B24" s="12">
        <v>1.7751173929092574</v>
      </c>
      <c r="C24" s="12">
        <v>2.1736654485602549</v>
      </c>
      <c r="E24">
        <v>1.5898186273820343</v>
      </c>
      <c r="F24">
        <v>1.5722298305036753</v>
      </c>
      <c r="G24">
        <v>0.6020630585878457</v>
      </c>
      <c r="H24">
        <v>0.60474391898093338</v>
      </c>
      <c r="J24">
        <f t="shared" si="0"/>
        <v>-1.1999999999999984</v>
      </c>
    </row>
    <row r="25" spans="1:10" ht="15.75" x14ac:dyDescent="0.25">
      <c r="B25" s="12">
        <v>1.5685805233376349</v>
      </c>
      <c r="C25" s="12">
        <v>0.66878342141936598</v>
      </c>
      <c r="D25" s="8"/>
      <c r="E25">
        <v>0.47670033624185565</v>
      </c>
      <c r="F25">
        <v>0.51141040344387467</v>
      </c>
      <c r="G25">
        <v>0.51674175269679312</v>
      </c>
      <c r="H25">
        <v>0.88289472138913094</v>
      </c>
      <c r="J25">
        <f t="shared" si="0"/>
        <v>-1.0999999999999983</v>
      </c>
    </row>
    <row r="26" spans="1:10" x14ac:dyDescent="0.25">
      <c r="E26">
        <v>1.4862162281291351</v>
      </c>
      <c r="F26">
        <v>1.5428426129207691</v>
      </c>
      <c r="G26">
        <v>-0.35416860866873706</v>
      </c>
      <c r="H26">
        <v>1.1133407200380756</v>
      </c>
      <c r="J26">
        <v>0</v>
      </c>
    </row>
    <row r="27" spans="1:10" x14ac:dyDescent="0.25">
      <c r="J27">
        <f t="shared" si="0"/>
        <v>0.1</v>
      </c>
    </row>
    <row r="28" spans="1:10" x14ac:dyDescent="0.25">
      <c r="J28">
        <f t="shared" si="0"/>
        <v>0.2</v>
      </c>
    </row>
    <row r="29" spans="1:10" x14ac:dyDescent="0.25">
      <c r="J29">
        <f t="shared" si="0"/>
        <v>0.30000000000000004</v>
      </c>
    </row>
    <row r="30" spans="1:10" x14ac:dyDescent="0.25">
      <c r="J30">
        <f t="shared" si="0"/>
        <v>0.4</v>
      </c>
    </row>
    <row r="31" spans="1:10" x14ac:dyDescent="0.25">
      <c r="J31">
        <f t="shared" si="0"/>
        <v>0.5</v>
      </c>
    </row>
    <row r="32" spans="1:10" x14ac:dyDescent="0.25">
      <c r="J32">
        <f t="shared" si="0"/>
        <v>0.6</v>
      </c>
    </row>
    <row r="33" spans="10:10" x14ac:dyDescent="0.25">
      <c r="J33">
        <f t="shared" si="0"/>
        <v>0.7</v>
      </c>
    </row>
    <row r="34" spans="10:10" x14ac:dyDescent="0.25">
      <c r="J34">
        <f t="shared" si="0"/>
        <v>0.79999999999999993</v>
      </c>
    </row>
    <row r="35" spans="10:10" x14ac:dyDescent="0.25">
      <c r="J35">
        <f t="shared" si="0"/>
        <v>0.89999999999999991</v>
      </c>
    </row>
    <row r="36" spans="10:10" x14ac:dyDescent="0.25">
      <c r="J36">
        <f t="shared" si="0"/>
        <v>0.99999999999999989</v>
      </c>
    </row>
    <row r="37" spans="10:10" x14ac:dyDescent="0.25">
      <c r="J37">
        <f t="shared" si="0"/>
        <v>1.0999999999999999</v>
      </c>
    </row>
    <row r="38" spans="10:10" x14ac:dyDescent="0.25">
      <c r="J38">
        <f t="shared" si="0"/>
        <v>1.2</v>
      </c>
    </row>
    <row r="39" spans="10:10" x14ac:dyDescent="0.25">
      <c r="J39">
        <f t="shared" si="0"/>
        <v>1.3</v>
      </c>
    </row>
    <row r="40" spans="10:10" x14ac:dyDescent="0.25">
      <c r="J40">
        <f t="shared" si="0"/>
        <v>1.4000000000000001</v>
      </c>
    </row>
    <row r="41" spans="10:10" x14ac:dyDescent="0.25">
      <c r="J41">
        <f t="shared" si="0"/>
        <v>1.5000000000000002</v>
      </c>
    </row>
    <row r="42" spans="10:10" x14ac:dyDescent="0.25">
      <c r="J42">
        <f t="shared" si="0"/>
        <v>1.6000000000000003</v>
      </c>
    </row>
    <row r="43" spans="10:10" x14ac:dyDescent="0.25">
      <c r="J43">
        <f t="shared" si="0"/>
        <v>1.7000000000000004</v>
      </c>
    </row>
    <row r="44" spans="10:10" x14ac:dyDescent="0.25">
      <c r="J44">
        <f t="shared" si="0"/>
        <v>1.8000000000000005</v>
      </c>
    </row>
    <row r="45" spans="10:10" x14ac:dyDescent="0.25">
      <c r="J45">
        <f t="shared" si="0"/>
        <v>1.9000000000000006</v>
      </c>
    </row>
    <row r="46" spans="10:10" x14ac:dyDescent="0.25">
      <c r="J46">
        <f>J45+0.1</f>
        <v>2.0000000000000004</v>
      </c>
    </row>
    <row r="47" spans="10:10" x14ac:dyDescent="0.25">
      <c r="J47">
        <f t="shared" si="0"/>
        <v>2.1000000000000005</v>
      </c>
    </row>
    <row r="48" spans="10:10" x14ac:dyDescent="0.25">
      <c r="J48">
        <f t="shared" si="0"/>
        <v>2.2000000000000006</v>
      </c>
    </row>
    <row r="49" spans="10:10" x14ac:dyDescent="0.25">
      <c r="J49">
        <f t="shared" si="0"/>
        <v>2.3000000000000007</v>
      </c>
    </row>
    <row r="50" spans="10:10" x14ac:dyDescent="0.25">
      <c r="J50">
        <f t="shared" si="0"/>
        <v>2.4000000000000008</v>
      </c>
    </row>
    <row r="51" spans="10:10" x14ac:dyDescent="0.25">
      <c r="J51">
        <f t="shared" si="0"/>
        <v>2.5000000000000009</v>
      </c>
    </row>
    <row r="52" spans="10:10" x14ac:dyDescent="0.25">
      <c r="J52">
        <f t="shared" si="0"/>
        <v>2.600000000000001</v>
      </c>
    </row>
    <row r="53" spans="10:10" x14ac:dyDescent="0.25">
      <c r="J53">
        <f t="shared" si="0"/>
        <v>2.7000000000000011</v>
      </c>
    </row>
    <row r="54" spans="10:10" x14ac:dyDescent="0.25">
      <c r="J54">
        <f t="shared" si="0"/>
        <v>2.8000000000000012</v>
      </c>
    </row>
    <row r="55" spans="10:10" x14ac:dyDescent="0.25">
      <c r="J55">
        <f t="shared" si="0"/>
        <v>2.9000000000000012</v>
      </c>
    </row>
    <row r="56" spans="10:10" x14ac:dyDescent="0.25">
      <c r="J56">
        <f>J55+0.1</f>
        <v>3.0000000000000013</v>
      </c>
    </row>
    <row r="57" spans="10:10" x14ac:dyDescent="0.25">
      <c r="J57">
        <f t="shared" si="0"/>
        <v>3.1000000000000014</v>
      </c>
    </row>
    <row r="58" spans="10:10" x14ac:dyDescent="0.25">
      <c r="J58">
        <f t="shared" si="0"/>
        <v>3.2000000000000015</v>
      </c>
    </row>
    <row r="59" spans="10:10" x14ac:dyDescent="0.25">
      <c r="J59">
        <f t="shared" si="0"/>
        <v>3.3000000000000016</v>
      </c>
    </row>
    <row r="60" spans="10:10" x14ac:dyDescent="0.25">
      <c r="J60">
        <f t="shared" si="0"/>
        <v>3.4000000000000017</v>
      </c>
    </row>
    <row r="61" spans="10:10" x14ac:dyDescent="0.25">
      <c r="J61">
        <f t="shared" si="0"/>
        <v>3.5000000000000018</v>
      </c>
    </row>
    <row r="62" spans="10:10" x14ac:dyDescent="0.25">
      <c r="J62">
        <f t="shared" si="0"/>
        <v>3.6000000000000019</v>
      </c>
    </row>
    <row r="63" spans="10:10" x14ac:dyDescent="0.25">
      <c r="J63">
        <f t="shared" si="0"/>
        <v>3.700000000000002</v>
      </c>
    </row>
    <row r="64" spans="10:10" x14ac:dyDescent="0.25">
      <c r="J64">
        <f t="shared" si="0"/>
        <v>3.800000000000002</v>
      </c>
    </row>
    <row r="65" spans="10:10" x14ac:dyDescent="0.25">
      <c r="J65">
        <f t="shared" si="0"/>
        <v>3.9000000000000021</v>
      </c>
    </row>
    <row r="66" spans="10:10" x14ac:dyDescent="0.25">
      <c r="J66">
        <f t="shared" si="0"/>
        <v>4.0000000000000018</v>
      </c>
    </row>
    <row r="67" spans="10:10" x14ac:dyDescent="0.25">
      <c r="J67">
        <f t="shared" si="0"/>
        <v>4.1000000000000014</v>
      </c>
    </row>
    <row r="68" spans="10:10" x14ac:dyDescent="0.25">
      <c r="J68">
        <f t="shared" si="0"/>
        <v>4.2000000000000011</v>
      </c>
    </row>
    <row r="69" spans="10:10" x14ac:dyDescent="0.25">
      <c r="J69">
        <f t="shared" si="0"/>
        <v>4.3000000000000007</v>
      </c>
    </row>
    <row r="70" spans="10:10" x14ac:dyDescent="0.25">
      <c r="J70">
        <f t="shared" si="0"/>
        <v>4.4000000000000004</v>
      </c>
    </row>
    <row r="71" spans="10:10" x14ac:dyDescent="0.25">
      <c r="J71">
        <f t="shared" si="0"/>
        <v>4.5</v>
      </c>
    </row>
    <row r="72" spans="10:10" x14ac:dyDescent="0.25">
      <c r="J72">
        <f t="shared" ref="J72:J86" si="1">J71+0.1</f>
        <v>4.5999999999999996</v>
      </c>
    </row>
    <row r="73" spans="10:10" x14ac:dyDescent="0.25">
      <c r="J73">
        <f t="shared" si="1"/>
        <v>4.6999999999999993</v>
      </c>
    </row>
    <row r="74" spans="10:10" x14ac:dyDescent="0.25">
      <c r="J74">
        <f t="shared" si="1"/>
        <v>4.7999999999999989</v>
      </c>
    </row>
    <row r="75" spans="10:10" x14ac:dyDescent="0.25">
      <c r="J75">
        <f t="shared" si="1"/>
        <v>4.8999999999999986</v>
      </c>
    </row>
    <row r="76" spans="10:10" x14ac:dyDescent="0.25">
      <c r="J76">
        <f t="shared" si="1"/>
        <v>4.9999999999999982</v>
      </c>
    </row>
    <row r="77" spans="10:10" x14ac:dyDescent="0.25">
      <c r="J77">
        <f t="shared" si="1"/>
        <v>5.0999999999999979</v>
      </c>
    </row>
    <row r="78" spans="10:10" x14ac:dyDescent="0.25">
      <c r="J78">
        <f t="shared" si="1"/>
        <v>5.1999999999999975</v>
      </c>
    </row>
    <row r="79" spans="10:10" x14ac:dyDescent="0.25">
      <c r="J79">
        <f t="shared" si="1"/>
        <v>5.2999999999999972</v>
      </c>
    </row>
    <row r="80" spans="10:10" x14ac:dyDescent="0.25">
      <c r="J80">
        <f t="shared" si="1"/>
        <v>5.3999999999999968</v>
      </c>
    </row>
    <row r="81" spans="10:10" x14ac:dyDescent="0.25">
      <c r="J81">
        <f t="shared" si="1"/>
        <v>5.4999999999999964</v>
      </c>
    </row>
    <row r="82" spans="10:10" x14ac:dyDescent="0.25">
      <c r="J82">
        <f t="shared" si="1"/>
        <v>5.5999999999999961</v>
      </c>
    </row>
    <row r="83" spans="10:10" x14ac:dyDescent="0.25">
      <c r="J83">
        <f t="shared" si="1"/>
        <v>5.6999999999999957</v>
      </c>
    </row>
    <row r="84" spans="10:10" x14ac:dyDescent="0.25">
      <c r="J84">
        <f t="shared" si="1"/>
        <v>5.7999999999999954</v>
      </c>
    </row>
    <row r="85" spans="10:10" x14ac:dyDescent="0.25">
      <c r="J85">
        <f t="shared" si="1"/>
        <v>5.899999999999995</v>
      </c>
    </row>
    <row r="86" spans="10:10" x14ac:dyDescent="0.25">
      <c r="J86">
        <f t="shared" si="1"/>
        <v>5.9999999999999947</v>
      </c>
    </row>
  </sheetData>
  <sortState xmlns:xlrd2="http://schemas.microsoft.com/office/spreadsheetml/2017/richdata2" ref="A39:A119">
    <sortCondition ref="A39"/>
  </sortState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Data">
                <anchor moveWithCells="1" sizeWithCells="1">
                  <from>
                    <xdr:col>1</xdr:col>
                    <xdr:colOff>9525</xdr:colOff>
                    <xdr:row>1</xdr:row>
                    <xdr:rowOff>19050</xdr:rowOff>
                  </from>
                  <to>
                    <xdr:col>1</xdr:col>
                    <xdr:colOff>1638300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Data">
                <anchor moveWithCells="1" sizeWithCells="1">
                  <from>
                    <xdr:col>2</xdr:col>
                    <xdr:colOff>19050</xdr:colOff>
                    <xdr:row>1</xdr:row>
                    <xdr:rowOff>0</xdr:rowOff>
                  </from>
                  <to>
                    <xdr:col>2</xdr:col>
                    <xdr:colOff>1676400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_est">
                <anchor moveWithCells="1" sizeWithCells="1">
                  <from>
                    <xdr:col>3</xdr:col>
                    <xdr:colOff>28575</xdr:colOff>
                    <xdr:row>1</xdr:row>
                    <xdr:rowOff>9525</xdr:rowOff>
                  </from>
                  <to>
                    <xdr:col>4</xdr:col>
                    <xdr:colOff>762000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B145"/>
  <sheetViews>
    <sheetView topLeftCell="G1" zoomScaleNormal="100" workbookViewId="0">
      <selection activeCell="N36" sqref="N36"/>
    </sheetView>
  </sheetViews>
  <sheetFormatPr defaultRowHeight="15" x14ac:dyDescent="0.25"/>
  <cols>
    <col min="1" max="1" width="19" customWidth="1"/>
    <col min="2" max="2" width="24.5703125" customWidth="1"/>
    <col min="3" max="3" width="27.7109375" customWidth="1"/>
    <col min="4" max="4" width="29" customWidth="1"/>
    <col min="6" max="6" width="26.7109375" customWidth="1"/>
    <col min="9" max="9" width="10.7109375" customWidth="1"/>
    <col min="10" max="10" width="17.7109375" customWidth="1"/>
    <col min="11" max="11" width="16.85546875" customWidth="1"/>
    <col min="13" max="13" width="13.140625" customWidth="1"/>
    <col min="14" max="14" width="16.5703125" customWidth="1"/>
    <col min="15" max="15" width="17.28515625" customWidth="1"/>
    <col min="17" max="17" width="12.140625" customWidth="1"/>
    <col min="18" max="18" width="14.85546875" customWidth="1"/>
    <col min="19" max="19" width="18.7109375" customWidth="1"/>
    <col min="20" max="20" width="9.7109375" customWidth="1"/>
    <col min="21" max="21" width="16.140625" customWidth="1"/>
    <col min="22" max="22" width="10.7109375" customWidth="1"/>
    <col min="23" max="23" width="18.28515625" customWidth="1"/>
    <col min="24" max="24" width="9.28515625" customWidth="1"/>
    <col min="25" max="25" width="16.7109375" customWidth="1"/>
    <col min="26" max="26" width="15.7109375" customWidth="1"/>
    <col min="27" max="27" width="18.140625" customWidth="1"/>
  </cols>
  <sheetData>
    <row r="1" spans="1:28" ht="32.25" thickBot="1" x14ac:dyDescent="0.3">
      <c r="A1" s="22" t="s">
        <v>9</v>
      </c>
      <c r="B1" s="22" t="s">
        <v>5</v>
      </c>
      <c r="C1" s="23" t="s">
        <v>10</v>
      </c>
      <c r="D1" s="23" t="s">
        <v>6</v>
      </c>
      <c r="F1" s="21" t="s">
        <v>11</v>
      </c>
    </row>
    <row r="2" spans="1:28" ht="15.75" x14ac:dyDescent="0.25">
      <c r="A2" s="18"/>
      <c r="B2" s="12">
        <v>1.1833825837554017</v>
      </c>
      <c r="C2">
        <v>0.79182734889770512</v>
      </c>
      <c r="D2">
        <v>0.61205506585818992</v>
      </c>
      <c r="F2" s="24">
        <v>-1.4</v>
      </c>
      <c r="H2" s="34" t="s">
        <v>15</v>
      </c>
      <c r="I2" s="34" t="s">
        <v>17</v>
      </c>
      <c r="J2" s="34" t="s">
        <v>18</v>
      </c>
      <c r="K2" s="29"/>
      <c r="L2" s="34" t="s">
        <v>15</v>
      </c>
      <c r="M2" s="34" t="s">
        <v>17</v>
      </c>
      <c r="N2" s="34" t="s">
        <v>18</v>
      </c>
      <c r="P2" s="34" t="s">
        <v>15</v>
      </c>
      <c r="Q2" s="34" t="s">
        <v>17</v>
      </c>
      <c r="R2" s="34" t="s">
        <v>18</v>
      </c>
      <c r="V2" s="13"/>
      <c r="W2" s="13"/>
      <c r="X2" s="13"/>
      <c r="Y2" s="13"/>
      <c r="Z2" s="13"/>
      <c r="AA2" s="13"/>
      <c r="AB2" s="17"/>
    </row>
    <row r="3" spans="1:28" ht="15.75" x14ac:dyDescent="0.25">
      <c r="A3" s="18"/>
      <c r="B3" s="12">
        <v>1.2121625476738755</v>
      </c>
      <c r="C3">
        <v>0.90962269156534181</v>
      </c>
      <c r="D3">
        <v>0.98990901080904936</v>
      </c>
      <c r="F3" s="24">
        <v>-1</v>
      </c>
      <c r="H3" s="2">
        <v>-1.4</v>
      </c>
      <c r="I3" s="3">
        <v>0</v>
      </c>
      <c r="J3" s="5">
        <v>0</v>
      </c>
      <c r="K3" s="2"/>
      <c r="L3" s="2">
        <v>-1.4</v>
      </c>
      <c r="M3" s="3">
        <v>0</v>
      </c>
      <c r="N3" s="5">
        <v>0</v>
      </c>
      <c r="P3" s="2">
        <v>-1.4</v>
      </c>
      <c r="Q3" s="3">
        <v>0</v>
      </c>
      <c r="R3" s="5">
        <v>0</v>
      </c>
      <c r="V3" s="16"/>
      <c r="W3" s="16"/>
      <c r="X3" s="14"/>
      <c r="Y3" s="15"/>
      <c r="Z3" s="16"/>
      <c r="AA3" s="16"/>
      <c r="AB3" s="17"/>
    </row>
    <row r="4" spans="1:28" ht="15.75" x14ac:dyDescent="0.25">
      <c r="A4" s="18"/>
      <c r="B4" s="12">
        <v>0.90046624798793962</v>
      </c>
      <c r="C4">
        <v>0.8234816600684004</v>
      </c>
      <c r="D4">
        <v>0.83116725621137699</v>
      </c>
      <c r="F4" s="24">
        <v>-0.8</v>
      </c>
      <c r="H4" s="2">
        <v>-1</v>
      </c>
      <c r="I4" s="3">
        <v>1</v>
      </c>
      <c r="J4" s="5">
        <v>0.05</v>
      </c>
      <c r="K4" s="2"/>
      <c r="L4" s="2">
        <v>-1</v>
      </c>
      <c r="M4" s="3">
        <v>0</v>
      </c>
      <c r="N4" s="5">
        <v>0</v>
      </c>
      <c r="P4" s="2">
        <v>-1</v>
      </c>
      <c r="Q4" s="3">
        <v>0</v>
      </c>
      <c r="R4" s="5">
        <v>0</v>
      </c>
      <c r="V4" s="16"/>
      <c r="W4" s="16"/>
      <c r="X4" s="14"/>
      <c r="Y4" s="15"/>
      <c r="Z4" s="16"/>
      <c r="AA4" s="16"/>
      <c r="AB4" s="17"/>
    </row>
    <row r="5" spans="1:28" ht="15.75" x14ac:dyDescent="0.25">
      <c r="A5" s="18"/>
      <c r="B5" s="12">
        <v>1.3940255627634555</v>
      </c>
      <c r="C5">
        <v>1.2522660523301603</v>
      </c>
      <c r="D5">
        <v>1.4749343705216504</v>
      </c>
      <c r="F5" s="24">
        <v>-0.6</v>
      </c>
      <c r="H5" s="2">
        <v>-0.8</v>
      </c>
      <c r="I5" s="3">
        <v>0</v>
      </c>
      <c r="J5" s="5">
        <v>0.05</v>
      </c>
      <c r="K5" s="2"/>
      <c r="L5" s="2">
        <v>-0.8</v>
      </c>
      <c r="M5" s="3">
        <v>0</v>
      </c>
      <c r="N5" s="5">
        <v>0</v>
      </c>
      <c r="P5" s="2">
        <v>-0.8</v>
      </c>
      <c r="Q5" s="3">
        <v>0</v>
      </c>
      <c r="R5" s="5">
        <v>0</v>
      </c>
      <c r="V5" s="16"/>
      <c r="W5" s="16"/>
      <c r="X5" s="14"/>
      <c r="Y5" s="15"/>
      <c r="Z5" s="16"/>
      <c r="AA5" s="16"/>
      <c r="AB5" s="17"/>
    </row>
    <row r="6" spans="1:28" ht="15.75" x14ac:dyDescent="0.25">
      <c r="A6" s="18"/>
      <c r="B6" s="12">
        <v>1.2326501087801656</v>
      </c>
      <c r="C6">
        <v>0.67354547444980872</v>
      </c>
      <c r="D6">
        <v>0.70975933851897577</v>
      </c>
      <c r="F6" s="24">
        <v>-0.4</v>
      </c>
      <c r="H6" s="2">
        <v>-0.6</v>
      </c>
      <c r="I6" s="3">
        <v>0</v>
      </c>
      <c r="J6" s="5">
        <v>0.05</v>
      </c>
      <c r="K6" s="2"/>
      <c r="L6" s="2">
        <v>-0.6</v>
      </c>
      <c r="M6" s="3">
        <v>0</v>
      </c>
      <c r="N6" s="5">
        <v>0</v>
      </c>
      <c r="P6" s="2">
        <v>-0.6</v>
      </c>
      <c r="Q6" s="3">
        <v>0</v>
      </c>
      <c r="R6" s="5">
        <v>0</v>
      </c>
      <c r="V6" s="16"/>
      <c r="W6" s="16"/>
      <c r="X6" s="14"/>
      <c r="Y6" s="15"/>
      <c r="Z6" s="16"/>
      <c r="AA6" s="16"/>
      <c r="AB6" s="17"/>
    </row>
    <row r="7" spans="1:28" ht="15.75" x14ac:dyDescent="0.25">
      <c r="A7" s="18"/>
      <c r="B7" s="12">
        <v>-0.49691968724214575</v>
      </c>
      <c r="C7">
        <v>0.84575883862332346</v>
      </c>
      <c r="D7">
        <v>0.79106444010930055</v>
      </c>
      <c r="F7" s="24">
        <v>-0.2</v>
      </c>
      <c r="H7" s="2">
        <v>-0.4</v>
      </c>
      <c r="I7" s="3">
        <v>1</v>
      </c>
      <c r="J7" s="5">
        <v>0.1</v>
      </c>
      <c r="K7" s="2"/>
      <c r="L7" s="2">
        <v>-0.4</v>
      </c>
      <c r="M7" s="3">
        <v>0</v>
      </c>
      <c r="N7" s="5">
        <v>0</v>
      </c>
      <c r="P7" s="2">
        <v>-0.4</v>
      </c>
      <c r="Q7" s="3">
        <v>0</v>
      </c>
      <c r="R7" s="5">
        <v>0</v>
      </c>
      <c r="V7" s="16"/>
      <c r="W7" s="16"/>
      <c r="X7" s="14"/>
      <c r="Y7" s="15"/>
      <c r="Z7" s="16"/>
      <c r="AA7" s="16"/>
      <c r="AB7" s="17"/>
    </row>
    <row r="8" spans="1:28" ht="15.75" x14ac:dyDescent="0.25">
      <c r="A8" s="18"/>
      <c r="B8" s="12">
        <v>0.2563623037215208</v>
      </c>
      <c r="C8">
        <v>1.2353771329929224</v>
      </c>
      <c r="D8">
        <v>1.209926532799436</v>
      </c>
      <c r="F8" s="24">
        <v>0</v>
      </c>
      <c r="H8" s="2">
        <v>-0.2</v>
      </c>
      <c r="I8" s="3">
        <v>0</v>
      </c>
      <c r="J8" s="5">
        <v>0.1</v>
      </c>
      <c r="K8" s="2"/>
      <c r="L8" s="2">
        <v>-0.2</v>
      </c>
      <c r="M8" s="3">
        <v>0</v>
      </c>
      <c r="N8" s="5">
        <v>0</v>
      </c>
      <c r="P8" s="2">
        <v>-0.2</v>
      </c>
      <c r="Q8" s="3">
        <v>0</v>
      </c>
      <c r="R8" s="5">
        <v>0</v>
      </c>
      <c r="V8" s="16"/>
      <c r="W8" s="16"/>
      <c r="X8" s="14"/>
      <c r="Y8" s="15"/>
      <c r="Z8" s="16"/>
      <c r="AA8" s="16"/>
      <c r="AB8" s="17"/>
    </row>
    <row r="9" spans="1:28" ht="15.75" x14ac:dyDescent="0.25">
      <c r="A9" s="18"/>
      <c r="B9" s="12">
        <v>-0.19896910814607893</v>
      </c>
      <c r="C9">
        <v>0.81300716971207687</v>
      </c>
      <c r="D9">
        <v>0.65966671022010381</v>
      </c>
      <c r="F9" s="24">
        <v>0.2</v>
      </c>
      <c r="H9" s="2">
        <v>0</v>
      </c>
      <c r="I9" s="3">
        <v>2</v>
      </c>
      <c r="J9" s="5">
        <v>0.2</v>
      </c>
      <c r="K9" s="2"/>
      <c r="L9" s="2">
        <v>0</v>
      </c>
      <c r="M9" s="3">
        <v>0</v>
      </c>
      <c r="N9" s="5">
        <v>0</v>
      </c>
      <c r="P9" s="2">
        <v>0</v>
      </c>
      <c r="Q9" s="3">
        <v>0</v>
      </c>
      <c r="R9" s="5">
        <v>0</v>
      </c>
      <c r="V9" s="16"/>
      <c r="W9" s="16"/>
      <c r="X9" s="14"/>
      <c r="Y9" s="15"/>
      <c r="Z9" s="16"/>
      <c r="AA9" s="16"/>
      <c r="AB9" s="17"/>
    </row>
    <row r="10" spans="1:28" ht="15.75" x14ac:dyDescent="0.25">
      <c r="A10" s="18"/>
      <c r="B10" s="12">
        <v>2.0506510151409705</v>
      </c>
      <c r="C10">
        <v>1.3098341295839537</v>
      </c>
      <c r="D10">
        <v>1.3391489213258216</v>
      </c>
      <c r="F10" s="24">
        <v>0.4</v>
      </c>
      <c r="H10" s="2">
        <v>0.2</v>
      </c>
      <c r="I10" s="3">
        <v>2</v>
      </c>
      <c r="J10" s="5">
        <v>0.3</v>
      </c>
      <c r="K10" s="2"/>
      <c r="L10" s="2">
        <v>0.2</v>
      </c>
      <c r="M10" s="3">
        <v>0</v>
      </c>
      <c r="N10" s="5">
        <v>0</v>
      </c>
      <c r="P10" s="2">
        <v>0.2</v>
      </c>
      <c r="Q10" s="3">
        <v>0</v>
      </c>
      <c r="R10" s="5">
        <v>0</v>
      </c>
      <c r="V10" s="16"/>
      <c r="W10" s="16"/>
      <c r="X10" s="14"/>
      <c r="Y10" s="15"/>
      <c r="Z10" s="16"/>
      <c r="AA10" s="16"/>
      <c r="AB10" s="17"/>
    </row>
    <row r="11" spans="1:28" ht="15.75" x14ac:dyDescent="0.25">
      <c r="A11" s="18"/>
      <c r="B11" s="12">
        <v>1.5564864948066655</v>
      </c>
      <c r="C11">
        <v>0.97212884232267438</v>
      </c>
      <c r="D11">
        <v>0.73127241608532367</v>
      </c>
      <c r="F11" s="24">
        <v>0.6</v>
      </c>
      <c r="H11" s="2">
        <v>0.4</v>
      </c>
      <c r="I11" s="3">
        <v>1</v>
      </c>
      <c r="J11" s="5">
        <v>0.35</v>
      </c>
      <c r="K11" s="2"/>
      <c r="L11" s="2">
        <v>0.4</v>
      </c>
      <c r="M11" s="3">
        <v>0</v>
      </c>
      <c r="N11" s="5">
        <v>0</v>
      </c>
      <c r="P11" s="2">
        <v>0.4</v>
      </c>
      <c r="Q11" s="3">
        <v>0</v>
      </c>
      <c r="R11" s="5">
        <v>0</v>
      </c>
      <c r="V11" s="16"/>
      <c r="W11" s="16"/>
      <c r="X11" s="14"/>
      <c r="Y11" s="15"/>
      <c r="Z11" s="16"/>
      <c r="AA11" s="16"/>
      <c r="AB11" s="17"/>
    </row>
    <row r="12" spans="1:28" ht="15.75" x14ac:dyDescent="0.25">
      <c r="A12" s="18"/>
      <c r="B12" s="12">
        <v>1.6558459609562772</v>
      </c>
      <c r="C12">
        <v>1.0369369815397658</v>
      </c>
      <c r="D12">
        <v>0.84942852336626662</v>
      </c>
      <c r="F12" s="24">
        <v>0.8</v>
      </c>
      <c r="H12" s="2">
        <v>0.6</v>
      </c>
      <c r="I12" s="3">
        <v>1</v>
      </c>
      <c r="J12" s="5">
        <v>0.4</v>
      </c>
      <c r="K12" s="2"/>
      <c r="L12" s="2">
        <v>0.6</v>
      </c>
      <c r="M12" s="3">
        <v>1</v>
      </c>
      <c r="N12" s="5">
        <v>0.05</v>
      </c>
      <c r="P12" s="2">
        <v>0.6</v>
      </c>
      <c r="Q12" s="3">
        <v>1</v>
      </c>
      <c r="R12" s="5">
        <v>0.05</v>
      </c>
      <c r="V12" s="16"/>
      <c r="W12" s="16"/>
      <c r="X12" s="14"/>
      <c r="Y12" s="15"/>
      <c r="Z12" s="16"/>
      <c r="AA12" s="16"/>
      <c r="AB12" s="17"/>
    </row>
    <row r="13" spans="1:28" ht="15.75" x14ac:dyDescent="0.25">
      <c r="A13" s="18"/>
      <c r="B13" s="12">
        <v>-1.1851507748615568</v>
      </c>
      <c r="C13">
        <v>0.48078032274997878</v>
      </c>
      <c r="D13">
        <v>0.48809281998476106</v>
      </c>
      <c r="F13" s="24">
        <v>1</v>
      </c>
      <c r="H13" s="2">
        <v>0.8</v>
      </c>
      <c r="I13" s="3">
        <v>0</v>
      </c>
      <c r="J13" s="5">
        <v>0.4</v>
      </c>
      <c r="K13" s="2"/>
      <c r="L13" s="2">
        <v>0.8</v>
      </c>
      <c r="M13" s="3">
        <v>2</v>
      </c>
      <c r="N13" s="5">
        <v>0.15</v>
      </c>
      <c r="P13" s="2">
        <v>0.8</v>
      </c>
      <c r="Q13" s="3">
        <v>5</v>
      </c>
      <c r="R13" s="5">
        <v>0.3</v>
      </c>
      <c r="V13" s="16"/>
      <c r="W13" s="16"/>
      <c r="X13" s="14"/>
      <c r="Y13" s="15"/>
      <c r="Z13" s="16"/>
      <c r="AA13" s="16"/>
      <c r="AB13" s="17"/>
    </row>
    <row r="14" spans="1:28" ht="15.75" x14ac:dyDescent="0.25">
      <c r="A14" s="18"/>
      <c r="B14" s="12">
        <v>1.5081796882265923</v>
      </c>
      <c r="C14">
        <v>1.021916707864277</v>
      </c>
      <c r="D14">
        <v>0.93194684574711117</v>
      </c>
      <c r="F14" s="24">
        <v>1.2</v>
      </c>
      <c r="H14" s="2">
        <v>1</v>
      </c>
      <c r="I14" s="3">
        <v>1</v>
      </c>
      <c r="J14" s="5">
        <v>0.45</v>
      </c>
      <c r="K14" s="2"/>
      <c r="L14" s="2">
        <v>1</v>
      </c>
      <c r="M14" s="3">
        <v>8</v>
      </c>
      <c r="N14" s="5">
        <v>0.55000000000000004</v>
      </c>
      <c r="P14" s="2">
        <v>1</v>
      </c>
      <c r="Q14" s="3">
        <v>7</v>
      </c>
      <c r="R14" s="5">
        <v>0.65</v>
      </c>
      <c r="V14" s="16"/>
      <c r="W14" s="16"/>
      <c r="X14" s="14"/>
      <c r="Y14" s="15"/>
      <c r="Z14" s="16"/>
      <c r="AA14" s="16"/>
      <c r="AB14" s="17"/>
    </row>
    <row r="15" spans="1:28" ht="15.75" x14ac:dyDescent="0.25">
      <c r="A15" s="18"/>
      <c r="B15" s="12">
        <v>0.14340279754883423</v>
      </c>
      <c r="C15">
        <v>1.0120953363702914</v>
      </c>
      <c r="D15">
        <v>1.0199661789948393</v>
      </c>
      <c r="F15" s="24">
        <v>1.4</v>
      </c>
      <c r="H15" s="2">
        <v>1.2</v>
      </c>
      <c r="I15" s="3">
        <v>2</v>
      </c>
      <c r="J15" s="5">
        <v>0.55000000000000004</v>
      </c>
      <c r="K15" s="2"/>
      <c r="L15" s="2">
        <v>1.2</v>
      </c>
      <c r="M15" s="3">
        <v>6</v>
      </c>
      <c r="N15" s="5">
        <v>0.85</v>
      </c>
      <c r="P15" s="2">
        <v>1.2</v>
      </c>
      <c r="Q15" s="3">
        <v>4</v>
      </c>
      <c r="R15" s="5">
        <v>0.85</v>
      </c>
      <c r="V15" s="16"/>
      <c r="W15" s="16"/>
      <c r="X15" s="14"/>
      <c r="Y15" s="15"/>
      <c r="Z15" s="16"/>
      <c r="AA15" s="16"/>
      <c r="AB15" s="17"/>
    </row>
    <row r="16" spans="1:28" ht="15.75" x14ac:dyDescent="0.25">
      <c r="A16" s="18"/>
      <c r="B16" s="12">
        <v>-0.19435597066930144</v>
      </c>
      <c r="C16">
        <v>1.07190978937424</v>
      </c>
      <c r="D16">
        <v>1.1738664999182316</v>
      </c>
      <c r="F16" s="24">
        <v>1.6</v>
      </c>
      <c r="H16" s="2">
        <v>1.4</v>
      </c>
      <c r="I16" s="3">
        <v>3</v>
      </c>
      <c r="J16" s="5">
        <v>0.7</v>
      </c>
      <c r="K16" s="2"/>
      <c r="L16" s="2">
        <v>1.4</v>
      </c>
      <c r="M16" s="3">
        <v>3</v>
      </c>
      <c r="N16" s="5">
        <v>1</v>
      </c>
      <c r="P16" s="2">
        <v>1.4</v>
      </c>
      <c r="Q16" s="3">
        <v>2</v>
      </c>
      <c r="R16" s="5">
        <v>0.95</v>
      </c>
      <c r="V16" s="16"/>
      <c r="W16" s="16"/>
      <c r="X16" s="14"/>
      <c r="Y16" s="15"/>
      <c r="Z16" s="16"/>
      <c r="AA16" s="16"/>
      <c r="AB16" s="17"/>
    </row>
    <row r="17" spans="1:28" ht="15.75" x14ac:dyDescent="0.25">
      <c r="A17" s="18"/>
      <c r="B17" s="12">
        <v>1.0343644125035232</v>
      </c>
      <c r="C17">
        <v>1.1648238268699467</v>
      </c>
      <c r="D17">
        <v>1.131255688604762</v>
      </c>
      <c r="F17" s="24">
        <v>1.8</v>
      </c>
      <c r="H17" s="2">
        <v>1.6</v>
      </c>
      <c r="I17" s="3">
        <v>3</v>
      </c>
      <c r="J17" s="5">
        <v>0.85</v>
      </c>
      <c r="K17" s="2"/>
      <c r="L17" s="2">
        <v>1.6</v>
      </c>
      <c r="M17" s="3">
        <v>0</v>
      </c>
      <c r="N17" s="5">
        <v>1</v>
      </c>
      <c r="P17" s="2">
        <v>1.6</v>
      </c>
      <c r="Q17" s="3">
        <v>1</v>
      </c>
      <c r="R17" s="5">
        <v>1</v>
      </c>
      <c r="V17" s="16"/>
      <c r="W17" s="16"/>
      <c r="X17" s="14"/>
      <c r="Y17" s="15"/>
      <c r="Z17" s="16"/>
      <c r="AA17" s="16"/>
      <c r="AB17" s="17"/>
    </row>
    <row r="18" spans="1:28" ht="15.75" x14ac:dyDescent="0.25">
      <c r="A18" s="18"/>
      <c r="B18" s="12">
        <v>3.6462057703912976E-2</v>
      </c>
      <c r="C18">
        <v>1.148258810102148</v>
      </c>
      <c r="D18">
        <v>0.88024062427635885</v>
      </c>
      <c r="F18" s="24">
        <v>2</v>
      </c>
      <c r="H18" s="2">
        <v>1.8</v>
      </c>
      <c r="I18" s="3">
        <v>1</v>
      </c>
      <c r="J18" s="5">
        <v>0.9</v>
      </c>
      <c r="K18" s="2"/>
      <c r="L18" s="2">
        <v>1.8</v>
      </c>
      <c r="M18" s="3">
        <v>0</v>
      </c>
      <c r="N18" s="5">
        <v>1</v>
      </c>
      <c r="P18" s="2">
        <v>1.8</v>
      </c>
      <c r="Q18" s="3">
        <v>0</v>
      </c>
      <c r="R18" s="5">
        <v>1</v>
      </c>
      <c r="V18" s="16"/>
      <c r="W18" s="16"/>
      <c r="X18" s="14"/>
      <c r="Y18" s="15"/>
      <c r="Z18" s="16"/>
      <c r="AA18" s="16"/>
      <c r="AB18" s="17"/>
    </row>
    <row r="19" spans="1:28" ht="15.75" x14ac:dyDescent="0.25">
      <c r="A19" s="18"/>
      <c r="B19" s="12">
        <v>0.56604681275998203</v>
      </c>
      <c r="C19">
        <v>0.96286766486470499</v>
      </c>
      <c r="D19">
        <v>0.89864999166047355</v>
      </c>
      <c r="F19" s="24">
        <v>2.2000000000000002</v>
      </c>
      <c r="H19" s="2">
        <v>2</v>
      </c>
      <c r="I19" s="3">
        <v>1</v>
      </c>
      <c r="J19" s="5">
        <v>0.95</v>
      </c>
      <c r="K19" s="2"/>
      <c r="L19" s="2">
        <v>2</v>
      </c>
      <c r="M19" s="3">
        <v>0</v>
      </c>
      <c r="N19" s="5">
        <v>1</v>
      </c>
      <c r="P19" s="2">
        <v>2</v>
      </c>
      <c r="Q19" s="3">
        <v>0</v>
      </c>
      <c r="R19" s="5">
        <v>1</v>
      </c>
      <c r="V19" s="16"/>
      <c r="W19" s="16"/>
      <c r="X19" s="14"/>
      <c r="Y19" s="15"/>
      <c r="Z19" s="16"/>
      <c r="AA19" s="16"/>
      <c r="AB19" s="17"/>
    </row>
    <row r="20" spans="1:28" ht="15.75" x14ac:dyDescent="0.25">
      <c r="A20" s="18"/>
      <c r="B20" s="12">
        <v>1.9668264879656197</v>
      </c>
      <c r="C20">
        <v>0.980620427461945</v>
      </c>
      <c r="D20">
        <v>0.86571321340870844</v>
      </c>
      <c r="F20" s="24">
        <v>2.4</v>
      </c>
      <c r="H20" s="2">
        <v>2.2000000000000002</v>
      </c>
      <c r="I20" s="3">
        <v>1</v>
      </c>
      <c r="J20" s="5">
        <v>1</v>
      </c>
      <c r="K20" s="2"/>
      <c r="L20" s="2">
        <v>2.2000000000000002</v>
      </c>
      <c r="M20" s="3">
        <v>0</v>
      </c>
      <c r="N20" s="5">
        <v>1</v>
      </c>
      <c r="P20" s="2">
        <v>2.2000000000000002</v>
      </c>
      <c r="Q20" s="3">
        <v>0</v>
      </c>
      <c r="R20" s="5">
        <v>1</v>
      </c>
      <c r="V20" s="16"/>
      <c r="W20" s="16"/>
      <c r="X20" s="14"/>
      <c r="Y20" s="15"/>
      <c r="Z20" s="16"/>
      <c r="AA20" s="16"/>
      <c r="AB20" s="17"/>
    </row>
    <row r="21" spans="1:28" ht="15.75" x14ac:dyDescent="0.25">
      <c r="A21" s="18"/>
      <c r="B21" s="12">
        <v>1.4333243436324024</v>
      </c>
      <c r="C21">
        <v>0.80276219425040285</v>
      </c>
      <c r="D21">
        <v>1.1088734981294626</v>
      </c>
      <c r="F21" s="24">
        <v>2.6</v>
      </c>
      <c r="H21" s="2">
        <v>2.4</v>
      </c>
      <c r="I21" s="3">
        <v>0</v>
      </c>
      <c r="J21" s="5">
        <v>1</v>
      </c>
      <c r="K21" s="2"/>
      <c r="L21" s="2">
        <v>2.4</v>
      </c>
      <c r="M21" s="3">
        <v>0</v>
      </c>
      <c r="N21" s="5">
        <v>1</v>
      </c>
      <c r="P21" s="2">
        <v>2.4</v>
      </c>
      <c r="Q21" s="3">
        <v>0</v>
      </c>
      <c r="R21" s="5">
        <v>1</v>
      </c>
      <c r="V21" s="16"/>
      <c r="W21" s="16"/>
      <c r="X21" s="14"/>
      <c r="Y21" s="15"/>
      <c r="Z21" s="16"/>
      <c r="AA21" s="16"/>
      <c r="AB21" s="17"/>
    </row>
    <row r="22" spans="1:28" ht="15.75" x14ac:dyDescent="0.25">
      <c r="A22" s="30"/>
      <c r="B22" s="31"/>
      <c r="C22" s="31"/>
      <c r="D22" s="32"/>
      <c r="F22" s="24"/>
      <c r="H22" s="2">
        <v>2.6</v>
      </c>
      <c r="I22" s="3">
        <v>0</v>
      </c>
      <c r="J22" s="5">
        <v>1</v>
      </c>
      <c r="K22" s="2"/>
      <c r="L22" s="2">
        <v>2.6</v>
      </c>
      <c r="M22" s="3">
        <v>0</v>
      </c>
      <c r="N22" s="5">
        <v>1</v>
      </c>
      <c r="P22" s="2">
        <v>2.6</v>
      </c>
      <c r="Q22" s="3">
        <v>0</v>
      </c>
      <c r="R22" s="5">
        <v>1</v>
      </c>
      <c r="V22" s="16"/>
      <c r="W22" s="16"/>
      <c r="X22" s="14"/>
      <c r="Y22" s="15"/>
      <c r="Z22" s="16"/>
      <c r="AA22" s="16"/>
      <c r="AB22" s="17"/>
    </row>
    <row r="23" spans="1:28" ht="16.5" thickBot="1" x14ac:dyDescent="0.3">
      <c r="A23" s="19" t="s">
        <v>8</v>
      </c>
      <c r="B23" s="19">
        <f>MAX(B2:B21)</f>
        <v>2.0506510151409705</v>
      </c>
      <c r="C23" s="19">
        <f t="shared" ref="C23:D23" si="0">MAX(C2:C21)</f>
        <v>1.3098341295839537</v>
      </c>
      <c r="D23" s="19">
        <f t="shared" si="0"/>
        <v>1.4749343705216504</v>
      </c>
      <c r="F23" s="24"/>
      <c r="H23" s="4" t="s">
        <v>16</v>
      </c>
      <c r="I23" s="4">
        <v>0</v>
      </c>
      <c r="J23" s="6">
        <v>1</v>
      </c>
      <c r="K23" s="2"/>
      <c r="L23" s="4" t="s">
        <v>16</v>
      </c>
      <c r="M23" s="4">
        <v>0</v>
      </c>
      <c r="N23" s="6">
        <v>1</v>
      </c>
      <c r="P23" s="4" t="s">
        <v>16</v>
      </c>
      <c r="Q23" s="4">
        <v>0</v>
      </c>
      <c r="R23" s="6">
        <v>1</v>
      </c>
      <c r="V23" s="16"/>
      <c r="W23" s="16"/>
      <c r="X23" s="14"/>
      <c r="Y23" s="15"/>
      <c r="Z23" s="16"/>
      <c r="AA23" s="16"/>
      <c r="AB23" s="17"/>
    </row>
    <row r="24" spans="1:28" ht="15.75" x14ac:dyDescent="0.25">
      <c r="A24" s="20" t="s">
        <v>7</v>
      </c>
      <c r="B24" s="19">
        <f>MIN(B2:B21)</f>
        <v>-1.1851507748615568</v>
      </c>
      <c r="C24" s="19">
        <f t="shared" ref="C24:D24" si="1">MIN(C2:C21)</f>
        <v>0.48078032274997878</v>
      </c>
      <c r="D24" s="19">
        <f t="shared" si="1"/>
        <v>0.48809281998476106</v>
      </c>
      <c r="F24" s="24"/>
      <c r="H24" s="14"/>
      <c r="I24" s="2"/>
      <c r="J24" s="3"/>
      <c r="K24" s="5"/>
      <c r="L24" s="14"/>
      <c r="M24" s="2"/>
      <c r="N24" s="3"/>
      <c r="O24" s="5"/>
      <c r="P24" s="14"/>
      <c r="Q24" s="2"/>
      <c r="R24" s="3"/>
      <c r="S24" s="5"/>
      <c r="T24" s="14"/>
      <c r="U24" s="15"/>
      <c r="V24" s="16"/>
      <c r="W24" s="16"/>
      <c r="X24" s="14"/>
      <c r="Y24" s="15"/>
      <c r="Z24" s="16"/>
      <c r="AA24" s="16"/>
      <c r="AB24" s="17"/>
    </row>
    <row r="25" spans="1:28" ht="15.75" x14ac:dyDescent="0.25">
      <c r="F25" s="24"/>
      <c r="H25" s="14"/>
      <c r="I25" s="2"/>
      <c r="J25" s="3"/>
      <c r="K25" s="5"/>
      <c r="L25" s="14"/>
      <c r="M25" s="2"/>
      <c r="N25" s="3"/>
      <c r="O25" s="5"/>
      <c r="P25" s="14"/>
      <c r="Q25" s="2"/>
      <c r="R25" s="3"/>
      <c r="S25" s="5"/>
      <c r="T25" s="14"/>
      <c r="U25" s="15"/>
      <c r="V25" s="16"/>
      <c r="W25" s="16"/>
      <c r="X25" s="14"/>
      <c r="Y25" s="15"/>
      <c r="Z25" s="16"/>
      <c r="AA25" s="16"/>
      <c r="AB25" s="17"/>
    </row>
    <row r="26" spans="1:28" ht="15.75" x14ac:dyDescent="0.25">
      <c r="F26" s="24"/>
      <c r="H26" s="14"/>
      <c r="I26" s="2"/>
      <c r="J26" s="3"/>
      <c r="K26" s="5"/>
      <c r="L26" s="14"/>
      <c r="M26" s="2"/>
      <c r="N26" s="3"/>
      <c r="O26" s="5"/>
      <c r="P26" s="14"/>
      <c r="Q26" s="2"/>
      <c r="R26" s="3"/>
      <c r="S26" s="5"/>
      <c r="T26" s="14"/>
      <c r="U26" s="15"/>
      <c r="V26" s="16"/>
      <c r="W26" s="16"/>
      <c r="X26" s="14"/>
      <c r="Y26" s="15"/>
      <c r="Z26" s="16"/>
      <c r="AA26" s="16"/>
      <c r="AB26" s="17"/>
    </row>
    <row r="27" spans="1:28" ht="15.75" x14ac:dyDescent="0.25">
      <c r="F27" s="24"/>
      <c r="H27" s="14"/>
      <c r="I27" s="2"/>
      <c r="J27" s="3"/>
      <c r="K27" s="5"/>
      <c r="L27" s="14"/>
      <c r="M27" s="2"/>
      <c r="N27" s="3"/>
      <c r="O27" s="5"/>
      <c r="P27" s="14"/>
      <c r="Q27" s="2"/>
      <c r="R27" s="3"/>
      <c r="S27" s="5"/>
      <c r="T27" s="14"/>
      <c r="U27" s="15"/>
      <c r="V27" s="16"/>
      <c r="W27" s="16"/>
      <c r="X27" s="14"/>
      <c r="Y27" s="15"/>
      <c r="Z27" s="16"/>
      <c r="AA27" s="16"/>
      <c r="AB27" s="17"/>
    </row>
    <row r="28" spans="1:28" ht="15.75" x14ac:dyDescent="0.25">
      <c r="A28" s="25"/>
      <c r="F28" s="24"/>
      <c r="H28" s="14"/>
      <c r="I28" s="2"/>
      <c r="J28" s="3"/>
      <c r="K28" s="5"/>
      <c r="L28" s="14"/>
      <c r="M28" s="2"/>
      <c r="N28" s="3"/>
      <c r="O28" s="5"/>
      <c r="P28" s="14"/>
      <c r="Q28" s="2"/>
      <c r="R28" s="3"/>
      <c r="S28" s="5"/>
      <c r="T28" s="14"/>
      <c r="U28" s="15"/>
      <c r="V28" s="16"/>
      <c r="W28" s="16"/>
      <c r="X28" s="14"/>
      <c r="Y28" s="15"/>
      <c r="Z28" s="16"/>
      <c r="AA28" s="16"/>
      <c r="AB28" s="17"/>
    </row>
    <row r="29" spans="1:28" x14ac:dyDescent="0.25">
      <c r="H29" s="14"/>
      <c r="I29" s="2"/>
      <c r="J29" s="3"/>
      <c r="K29" s="5"/>
      <c r="L29" s="14"/>
      <c r="M29" s="2"/>
      <c r="N29" s="3"/>
      <c r="O29" s="5"/>
      <c r="P29" s="14"/>
      <c r="Q29" s="2"/>
      <c r="R29" s="3"/>
      <c r="S29" s="5"/>
      <c r="T29" s="14"/>
      <c r="U29" s="15"/>
      <c r="V29" s="16"/>
      <c r="W29" s="16"/>
      <c r="X29" s="14"/>
      <c r="Y29" s="15"/>
      <c r="Z29" s="16"/>
      <c r="AA29" s="16"/>
      <c r="AB29" s="17"/>
    </row>
    <row r="30" spans="1:28" x14ac:dyDescent="0.25">
      <c r="H30" s="14"/>
      <c r="I30" s="3"/>
      <c r="J30" s="3"/>
      <c r="K30" s="5"/>
      <c r="L30" s="14"/>
      <c r="M30" s="3"/>
      <c r="N30" s="3"/>
      <c r="O30" s="5"/>
      <c r="P30" s="14"/>
      <c r="Q30" s="3"/>
      <c r="R30" s="3"/>
      <c r="S30" s="5"/>
      <c r="T30" s="14"/>
      <c r="U30" s="15"/>
      <c r="V30" s="16"/>
      <c r="W30" s="16"/>
      <c r="X30" s="14"/>
      <c r="Y30" s="15"/>
      <c r="Z30" s="16"/>
      <c r="AA30" s="16"/>
      <c r="AB30" s="17"/>
    </row>
    <row r="31" spans="1:28" x14ac:dyDescent="0.25">
      <c r="H31" s="14"/>
      <c r="I31" s="14"/>
      <c r="J31" s="15"/>
      <c r="K31" s="16"/>
      <c r="L31" s="14"/>
      <c r="M31" s="14"/>
      <c r="N31" s="14"/>
      <c r="O31" s="14"/>
      <c r="P31" s="14"/>
      <c r="Q31" s="14"/>
      <c r="R31" s="14"/>
      <c r="S31" s="14"/>
      <c r="T31" s="14"/>
      <c r="U31" s="15"/>
      <c r="V31" s="16"/>
      <c r="W31" s="16"/>
      <c r="X31" s="14"/>
      <c r="Y31" s="15"/>
      <c r="Z31" s="16"/>
      <c r="AA31" s="16"/>
      <c r="AB31" s="17"/>
    </row>
    <row r="32" spans="1:28" x14ac:dyDescent="0.25">
      <c r="H32" s="14"/>
      <c r="I32" s="14"/>
      <c r="J32" s="15"/>
      <c r="K32" s="16"/>
      <c r="L32" s="14"/>
      <c r="M32" s="14"/>
      <c r="N32" s="14"/>
      <c r="O32" s="14"/>
      <c r="P32" s="14"/>
      <c r="Q32" s="14"/>
      <c r="R32" s="14"/>
      <c r="S32" s="14"/>
      <c r="T32" s="14"/>
      <c r="U32" s="15"/>
      <c r="V32" s="16"/>
      <c r="W32" s="16"/>
      <c r="X32" s="14"/>
      <c r="Y32" s="15"/>
      <c r="Z32" s="16"/>
      <c r="AA32" s="16"/>
      <c r="AB32" s="17"/>
    </row>
    <row r="33" spans="8:28" x14ac:dyDescent="0.25">
      <c r="H33" s="14"/>
      <c r="I33" s="14"/>
      <c r="J33" s="15"/>
      <c r="K33" s="16"/>
      <c r="L33" s="14"/>
      <c r="M33" s="14"/>
      <c r="N33" s="14"/>
      <c r="O33" s="14"/>
      <c r="P33" s="14"/>
      <c r="Q33" s="14"/>
      <c r="R33" s="14"/>
      <c r="S33" s="14"/>
      <c r="T33" s="14"/>
      <c r="U33" s="15"/>
      <c r="V33" s="16"/>
      <c r="W33" s="16"/>
      <c r="X33" s="14"/>
      <c r="Y33" s="15"/>
      <c r="Z33" s="16"/>
      <c r="AA33" s="16"/>
      <c r="AB33" s="17"/>
    </row>
    <row r="34" spans="8:28" x14ac:dyDescent="0.25">
      <c r="H34" s="14"/>
      <c r="I34" s="14"/>
      <c r="J34" s="15"/>
      <c r="K34" s="16"/>
      <c r="L34" s="14"/>
      <c r="M34" s="14"/>
      <c r="N34" s="14"/>
      <c r="O34" s="14"/>
      <c r="P34" s="14"/>
      <c r="Q34" s="14"/>
      <c r="R34" s="14"/>
      <c r="S34" s="14"/>
      <c r="T34" s="14"/>
      <c r="U34" s="15"/>
      <c r="V34" s="16"/>
      <c r="W34" s="16"/>
      <c r="X34" s="14"/>
      <c r="Y34" s="15"/>
      <c r="Z34" s="16"/>
      <c r="AA34" s="16"/>
      <c r="AB34" s="17"/>
    </row>
    <row r="35" spans="8:28" x14ac:dyDescent="0.25">
      <c r="H35" s="14"/>
      <c r="I35" s="14"/>
      <c r="J35" s="15"/>
      <c r="K35" s="16"/>
      <c r="L35" s="14"/>
      <c r="M35" s="14"/>
      <c r="N35" s="14"/>
      <c r="O35" s="14"/>
      <c r="P35" s="14"/>
      <c r="Q35" s="14"/>
      <c r="R35" s="14"/>
      <c r="S35" s="14"/>
      <c r="T35" s="14"/>
      <c r="U35" s="15"/>
      <c r="V35" s="16"/>
      <c r="W35" s="16"/>
      <c r="X35" s="14"/>
      <c r="Y35" s="15"/>
      <c r="Z35" s="16"/>
      <c r="AA35" s="16"/>
      <c r="AB35" s="17"/>
    </row>
    <row r="36" spans="8:28" x14ac:dyDescent="0.25">
      <c r="H36" s="14"/>
      <c r="I36" s="14"/>
      <c r="J36" s="15"/>
      <c r="K36" s="16"/>
      <c r="L36" s="14"/>
      <c r="M36" s="14"/>
      <c r="N36" s="14"/>
      <c r="O36" s="14"/>
      <c r="P36" s="14"/>
      <c r="Q36" s="14"/>
      <c r="R36" s="14"/>
      <c r="S36" s="14"/>
      <c r="T36" s="14"/>
      <c r="U36" s="15"/>
      <c r="V36" s="16"/>
      <c r="W36" s="16"/>
      <c r="X36" s="14"/>
      <c r="Y36" s="15"/>
      <c r="Z36" s="16"/>
      <c r="AA36" s="16"/>
      <c r="AB36" s="17"/>
    </row>
    <row r="37" spans="8:28" x14ac:dyDescent="0.25">
      <c r="H37" s="14"/>
      <c r="I37" s="14"/>
      <c r="J37" s="15"/>
      <c r="K37" s="16"/>
      <c r="L37" s="14"/>
      <c r="M37" s="14"/>
      <c r="N37" s="14"/>
      <c r="O37" s="14"/>
      <c r="P37" s="14"/>
      <c r="Q37" s="14"/>
      <c r="R37" s="14"/>
      <c r="S37" s="14"/>
      <c r="T37" s="14"/>
      <c r="U37" s="15"/>
      <c r="V37" s="16"/>
      <c r="W37" s="16"/>
      <c r="X37" s="14"/>
      <c r="Y37" s="15"/>
      <c r="Z37" s="16"/>
      <c r="AA37" s="16"/>
      <c r="AB37" s="17"/>
    </row>
    <row r="38" spans="8:28" x14ac:dyDescent="0.25">
      <c r="H38" s="14"/>
      <c r="I38" s="14"/>
      <c r="J38" s="15"/>
      <c r="K38" s="16"/>
      <c r="L38" s="14"/>
      <c r="M38" s="14"/>
      <c r="N38" s="14"/>
      <c r="O38" s="14"/>
      <c r="P38" s="14"/>
      <c r="Q38" s="14"/>
      <c r="R38" s="14"/>
      <c r="S38" s="14"/>
      <c r="T38" s="14"/>
      <c r="U38" s="15"/>
      <c r="V38" s="16"/>
      <c r="W38" s="16"/>
      <c r="X38" s="14"/>
      <c r="Y38" s="15"/>
      <c r="Z38" s="16"/>
      <c r="AA38" s="16"/>
      <c r="AB38" s="17"/>
    </row>
    <row r="39" spans="8:28" x14ac:dyDescent="0.25">
      <c r="H39" s="14"/>
      <c r="I39" s="14"/>
      <c r="J39" s="15"/>
      <c r="K39" s="16"/>
      <c r="L39" s="14"/>
      <c r="M39" s="14"/>
      <c r="N39" s="14"/>
      <c r="O39" s="14"/>
      <c r="P39" s="14"/>
      <c r="Q39" s="14"/>
      <c r="R39" s="14"/>
      <c r="S39" s="14"/>
      <c r="T39" s="14"/>
      <c r="U39" s="15"/>
      <c r="V39" s="16"/>
      <c r="W39" s="16"/>
      <c r="X39" s="14"/>
      <c r="Y39" s="15"/>
      <c r="Z39" s="16"/>
      <c r="AA39" s="16"/>
      <c r="AB39" s="17"/>
    </row>
    <row r="40" spans="8:28" x14ac:dyDescent="0.25">
      <c r="H40" s="14"/>
      <c r="I40" s="14"/>
      <c r="J40" s="15"/>
      <c r="K40" s="16"/>
      <c r="L40" s="14"/>
      <c r="M40" s="14"/>
      <c r="N40" s="14"/>
      <c r="O40" s="14"/>
      <c r="P40" s="14"/>
      <c r="Q40" s="14"/>
      <c r="R40" s="14"/>
      <c r="S40" s="14"/>
      <c r="T40" s="14"/>
      <c r="U40" s="15"/>
      <c r="V40" s="16"/>
      <c r="W40" s="16"/>
      <c r="X40" s="14"/>
      <c r="Y40" s="15"/>
      <c r="Z40" s="16"/>
      <c r="AA40" s="16"/>
      <c r="AB40" s="17"/>
    </row>
    <row r="41" spans="8:28" x14ac:dyDescent="0.25">
      <c r="H41" s="14"/>
      <c r="I41" s="14"/>
      <c r="J41" s="15"/>
      <c r="K41" s="16"/>
      <c r="L41" s="14"/>
      <c r="M41" s="14"/>
      <c r="N41" s="14"/>
      <c r="O41" s="14"/>
      <c r="P41" s="14"/>
      <c r="Q41" s="14"/>
      <c r="R41" s="14"/>
      <c r="S41" s="14"/>
      <c r="T41" s="14"/>
      <c r="U41" s="15"/>
      <c r="V41" s="16"/>
      <c r="W41" s="16"/>
      <c r="X41" s="14"/>
      <c r="Y41" s="15"/>
      <c r="Z41" s="16"/>
      <c r="AA41" s="16"/>
      <c r="AB41" s="17"/>
    </row>
    <row r="42" spans="8:28" x14ac:dyDescent="0.25">
      <c r="H42" s="14"/>
      <c r="I42" s="14"/>
      <c r="J42" s="15"/>
      <c r="K42" s="16"/>
      <c r="L42" s="14"/>
      <c r="M42" s="14"/>
      <c r="N42" s="14"/>
      <c r="O42" s="14"/>
      <c r="P42" s="14"/>
      <c r="Q42" s="14"/>
      <c r="R42" s="14"/>
      <c r="S42" s="14"/>
      <c r="T42" s="14"/>
      <c r="U42" s="15"/>
      <c r="V42" s="16"/>
      <c r="W42" s="16"/>
      <c r="X42" s="14"/>
      <c r="Y42" s="15"/>
      <c r="Z42" s="16"/>
      <c r="AA42" s="16"/>
      <c r="AB42" s="17"/>
    </row>
    <row r="43" spans="8:28" x14ac:dyDescent="0.25">
      <c r="H43" s="14"/>
      <c r="I43" s="14"/>
      <c r="J43" s="15"/>
      <c r="K43" s="16"/>
      <c r="L43" s="14"/>
      <c r="M43" s="14"/>
      <c r="N43" s="14"/>
      <c r="O43" s="14"/>
      <c r="P43" s="14"/>
      <c r="Q43" s="14"/>
      <c r="R43" s="14"/>
      <c r="S43" s="14"/>
      <c r="T43" s="14"/>
      <c r="U43" s="15"/>
      <c r="V43" s="16"/>
      <c r="W43" s="16"/>
      <c r="X43" s="14"/>
      <c r="Y43" s="15"/>
      <c r="Z43" s="16"/>
      <c r="AA43" s="16"/>
      <c r="AB43" s="17"/>
    </row>
    <row r="44" spans="8:28" x14ac:dyDescent="0.25">
      <c r="H44" s="14"/>
      <c r="I44" s="14"/>
      <c r="J44" s="15"/>
      <c r="K44" s="16"/>
      <c r="L44" s="14"/>
      <c r="M44" s="14"/>
      <c r="N44" s="14"/>
      <c r="O44" s="14"/>
      <c r="P44" s="14"/>
      <c r="Q44" s="14"/>
      <c r="R44" s="14"/>
      <c r="S44" s="14"/>
      <c r="T44" s="14"/>
      <c r="U44" s="15"/>
      <c r="V44" s="16"/>
      <c r="W44" s="16"/>
      <c r="X44" s="14"/>
      <c r="Y44" s="15"/>
      <c r="Z44" s="16"/>
      <c r="AA44" s="16"/>
      <c r="AB44" s="17"/>
    </row>
    <row r="45" spans="8:28" x14ac:dyDescent="0.25">
      <c r="H45" s="14"/>
      <c r="I45" s="14"/>
      <c r="J45" s="15"/>
      <c r="K45" s="16"/>
      <c r="L45" s="14"/>
      <c r="M45" s="14"/>
      <c r="N45" s="14"/>
      <c r="O45" s="14"/>
      <c r="P45" s="14"/>
      <c r="Q45" s="14"/>
      <c r="R45" s="14"/>
      <c r="S45" s="14"/>
      <c r="T45" s="14"/>
      <c r="U45" s="15"/>
      <c r="V45" s="16"/>
      <c r="W45" s="16"/>
      <c r="X45" s="14"/>
      <c r="Y45" s="15"/>
      <c r="Z45" s="16"/>
      <c r="AA45" s="16"/>
      <c r="AB45" s="17"/>
    </row>
    <row r="46" spans="8:28" x14ac:dyDescent="0.25">
      <c r="H46" s="14"/>
      <c r="I46" s="14"/>
      <c r="J46" s="15"/>
      <c r="K46" s="16"/>
      <c r="L46" s="14"/>
      <c r="M46" s="14"/>
      <c r="N46" s="14"/>
      <c r="O46" s="14"/>
      <c r="P46" s="14"/>
      <c r="Q46" s="14"/>
      <c r="R46" s="14"/>
      <c r="S46" s="14"/>
      <c r="T46" s="14"/>
      <c r="U46" s="15"/>
      <c r="V46" s="16"/>
      <c r="W46" s="16"/>
      <c r="X46" s="14"/>
      <c r="Y46" s="15"/>
      <c r="Z46" s="16"/>
      <c r="AA46" s="16"/>
      <c r="AB46" s="17"/>
    </row>
    <row r="47" spans="8:28" x14ac:dyDescent="0.25">
      <c r="H47" s="14"/>
      <c r="I47" s="14"/>
      <c r="J47" s="15"/>
      <c r="K47" s="16"/>
      <c r="L47" s="14"/>
      <c r="M47" s="14"/>
      <c r="N47" s="14"/>
      <c r="O47" s="14"/>
      <c r="P47" s="14"/>
      <c r="Q47" s="14"/>
      <c r="R47" s="14"/>
      <c r="S47" s="14"/>
      <c r="T47" s="14"/>
      <c r="U47" s="15"/>
      <c r="V47" s="16"/>
      <c r="W47" s="16"/>
      <c r="X47" s="14"/>
      <c r="Y47" s="15"/>
      <c r="Z47" s="16"/>
      <c r="AA47" s="16"/>
      <c r="AB47" s="17"/>
    </row>
    <row r="48" spans="8:28" x14ac:dyDescent="0.25">
      <c r="H48" s="14"/>
      <c r="I48" s="14"/>
      <c r="J48" s="15"/>
      <c r="K48" s="16"/>
      <c r="L48" s="14"/>
      <c r="M48" s="14"/>
      <c r="N48" s="14"/>
      <c r="O48" s="14"/>
      <c r="P48" s="14"/>
      <c r="Q48" s="14"/>
      <c r="R48" s="14"/>
      <c r="S48" s="14"/>
      <c r="T48" s="14"/>
      <c r="U48" s="15"/>
      <c r="V48" s="16"/>
      <c r="W48" s="16"/>
      <c r="X48" s="14"/>
      <c r="Y48" s="15"/>
      <c r="Z48" s="16"/>
      <c r="AA48" s="16"/>
      <c r="AB48" s="17"/>
    </row>
    <row r="49" spans="8:28" x14ac:dyDescent="0.25">
      <c r="H49" s="14"/>
      <c r="I49" s="14"/>
      <c r="J49" s="15"/>
      <c r="K49" s="16"/>
      <c r="L49" s="14"/>
      <c r="M49" s="14"/>
      <c r="N49" s="14"/>
      <c r="O49" s="14"/>
      <c r="P49" s="14"/>
      <c r="Q49" s="14"/>
      <c r="R49" s="14"/>
      <c r="S49" s="14"/>
      <c r="T49" s="14"/>
      <c r="U49" s="15"/>
      <c r="V49" s="16"/>
      <c r="W49" s="16"/>
      <c r="X49" s="14"/>
      <c r="Y49" s="15"/>
      <c r="Z49" s="16"/>
      <c r="AA49" s="16"/>
      <c r="AB49" s="17"/>
    </row>
    <row r="50" spans="8:28" x14ac:dyDescent="0.25">
      <c r="H50" s="14"/>
      <c r="I50" s="14"/>
      <c r="J50" s="15"/>
      <c r="K50" s="16"/>
      <c r="L50" s="14"/>
      <c r="M50" s="14"/>
      <c r="N50" s="14"/>
      <c r="O50" s="14"/>
      <c r="P50" s="14"/>
      <c r="Q50" s="14"/>
      <c r="R50" s="14"/>
      <c r="S50" s="14"/>
      <c r="T50" s="14"/>
      <c r="U50" s="15"/>
      <c r="V50" s="16"/>
      <c r="W50" s="16"/>
      <c r="X50" s="14"/>
      <c r="Y50" s="15"/>
      <c r="Z50" s="16"/>
      <c r="AA50" s="16"/>
      <c r="AB50" s="17"/>
    </row>
    <row r="51" spans="8:28" x14ac:dyDescent="0.25">
      <c r="H51" s="14"/>
      <c r="I51" s="14"/>
      <c r="J51" s="15"/>
      <c r="K51" s="16"/>
      <c r="L51" s="14"/>
      <c r="M51" s="14"/>
      <c r="N51" s="14"/>
      <c r="O51" s="14"/>
      <c r="P51" s="14"/>
      <c r="Q51" s="14"/>
      <c r="R51" s="14"/>
      <c r="S51" s="14"/>
      <c r="T51" s="14"/>
      <c r="U51" s="15"/>
      <c r="V51" s="16"/>
      <c r="W51" s="16"/>
      <c r="X51" s="14"/>
      <c r="Y51" s="15"/>
      <c r="Z51" s="16"/>
      <c r="AA51" s="16"/>
      <c r="AB51" s="17"/>
    </row>
    <row r="52" spans="8:28" x14ac:dyDescent="0.25">
      <c r="H52" s="14"/>
      <c r="I52" s="14"/>
      <c r="J52" s="15"/>
      <c r="K52" s="16"/>
      <c r="L52" s="14"/>
      <c r="M52" s="14"/>
      <c r="N52" s="14"/>
      <c r="O52" s="14"/>
      <c r="P52" s="14"/>
      <c r="Q52" s="14"/>
      <c r="R52" s="14"/>
      <c r="S52" s="14"/>
      <c r="T52" s="14"/>
      <c r="U52" s="15"/>
      <c r="V52" s="16"/>
      <c r="W52" s="16"/>
      <c r="X52" s="14"/>
      <c r="Y52" s="15"/>
      <c r="Z52" s="16"/>
      <c r="AA52" s="16"/>
      <c r="AB52" s="17"/>
    </row>
    <row r="53" spans="8:28" x14ac:dyDescent="0.25">
      <c r="H53" s="14"/>
      <c r="I53" s="14"/>
      <c r="J53" s="15"/>
      <c r="K53" s="16"/>
      <c r="L53" s="14"/>
      <c r="M53" s="14"/>
      <c r="N53" s="14"/>
      <c r="O53" s="14"/>
      <c r="P53" s="14"/>
      <c r="Q53" s="14"/>
      <c r="R53" s="14"/>
      <c r="S53" s="14"/>
      <c r="T53" s="14"/>
      <c r="U53" s="15"/>
      <c r="V53" s="16"/>
      <c r="W53" s="16"/>
      <c r="X53" s="14"/>
      <c r="Y53" s="15"/>
      <c r="Z53" s="16"/>
      <c r="AA53" s="16"/>
      <c r="AB53" s="17"/>
    </row>
    <row r="54" spans="8:28" x14ac:dyDescent="0.25">
      <c r="H54" s="14"/>
      <c r="I54" s="14"/>
      <c r="J54" s="15"/>
      <c r="K54" s="16"/>
      <c r="L54" s="14"/>
      <c r="M54" s="14"/>
      <c r="N54" s="14"/>
      <c r="O54" s="14"/>
      <c r="P54" s="14"/>
      <c r="Q54" s="14"/>
      <c r="R54" s="14"/>
      <c r="S54" s="14"/>
      <c r="T54" s="14"/>
      <c r="U54" s="15"/>
      <c r="V54" s="16"/>
      <c r="W54" s="16"/>
      <c r="X54" s="14"/>
      <c r="Y54" s="15"/>
      <c r="Z54" s="16"/>
      <c r="AA54" s="16"/>
      <c r="AB54" s="17"/>
    </row>
    <row r="55" spans="8:28" x14ac:dyDescent="0.25">
      <c r="H55" s="14"/>
      <c r="I55" s="14"/>
      <c r="J55" s="15"/>
      <c r="K55" s="16"/>
      <c r="L55" s="14"/>
      <c r="M55" s="14"/>
      <c r="N55" s="14"/>
      <c r="O55" s="14"/>
      <c r="P55" s="14"/>
      <c r="Q55" s="14"/>
      <c r="R55" s="14"/>
      <c r="S55" s="14"/>
      <c r="T55" s="14"/>
      <c r="U55" s="15"/>
      <c r="V55" s="16"/>
      <c r="W55" s="16"/>
      <c r="X55" s="14"/>
      <c r="Y55" s="15"/>
      <c r="Z55" s="16"/>
      <c r="AA55" s="16"/>
      <c r="AB55" s="17"/>
    </row>
    <row r="56" spans="8:28" x14ac:dyDescent="0.25">
      <c r="H56" s="14"/>
      <c r="I56" s="14"/>
      <c r="J56" s="15"/>
      <c r="K56" s="16"/>
      <c r="L56" s="14"/>
      <c r="M56" s="14"/>
      <c r="N56" s="14"/>
      <c r="O56" s="14"/>
      <c r="P56" s="14"/>
      <c r="Q56" s="14"/>
      <c r="R56" s="14"/>
      <c r="S56" s="14"/>
      <c r="T56" s="14"/>
      <c r="U56" s="15"/>
      <c r="V56" s="16"/>
      <c r="W56" s="16"/>
      <c r="X56" s="14"/>
      <c r="Y56" s="15"/>
      <c r="Z56" s="16"/>
      <c r="AA56" s="16"/>
      <c r="AB56" s="17"/>
    </row>
    <row r="57" spans="8:28" x14ac:dyDescent="0.25">
      <c r="H57" s="14"/>
      <c r="I57" s="14"/>
      <c r="J57" s="15"/>
      <c r="K57" s="16"/>
      <c r="L57" s="14"/>
      <c r="M57" s="14"/>
      <c r="N57" s="14"/>
      <c r="O57" s="14"/>
      <c r="P57" s="14"/>
      <c r="Q57" s="14"/>
      <c r="R57" s="14"/>
      <c r="S57" s="14"/>
      <c r="T57" s="14"/>
      <c r="U57" s="15"/>
      <c r="V57" s="16"/>
      <c r="W57" s="16"/>
      <c r="X57" s="14"/>
      <c r="Y57" s="15"/>
      <c r="Z57" s="16"/>
      <c r="AA57" s="16"/>
      <c r="AB57" s="17"/>
    </row>
    <row r="58" spans="8:28" x14ac:dyDescent="0.25">
      <c r="H58" s="14"/>
      <c r="I58" s="14"/>
      <c r="J58" s="15"/>
      <c r="K58" s="16"/>
      <c r="L58" s="14"/>
      <c r="M58" s="14"/>
      <c r="N58" s="14"/>
      <c r="O58" s="14"/>
      <c r="P58" s="14"/>
      <c r="Q58" s="14"/>
      <c r="R58" s="14"/>
      <c r="S58" s="14"/>
      <c r="T58" s="14"/>
      <c r="U58" s="15"/>
      <c r="V58" s="16"/>
      <c r="W58" s="16"/>
      <c r="X58" s="14"/>
      <c r="Y58" s="15"/>
      <c r="Z58" s="16"/>
      <c r="AA58" s="16"/>
      <c r="AB58" s="17"/>
    </row>
    <row r="59" spans="8:28" x14ac:dyDescent="0.25">
      <c r="H59" s="14"/>
      <c r="I59" s="14"/>
      <c r="J59" s="15"/>
      <c r="K59" s="16"/>
      <c r="L59" s="14"/>
      <c r="M59" s="14"/>
      <c r="N59" s="14"/>
      <c r="O59" s="14"/>
      <c r="P59" s="14"/>
      <c r="Q59" s="14"/>
      <c r="R59" s="14"/>
      <c r="S59" s="14"/>
      <c r="T59" s="14"/>
      <c r="U59" s="15"/>
      <c r="V59" s="16"/>
      <c r="W59" s="16"/>
      <c r="X59" s="14"/>
      <c r="Y59" s="15"/>
      <c r="Z59" s="16"/>
      <c r="AA59" s="16"/>
      <c r="AB59" s="17"/>
    </row>
    <row r="60" spans="8:28" x14ac:dyDescent="0.25">
      <c r="H60" s="14"/>
      <c r="I60" s="14"/>
      <c r="J60" s="15"/>
      <c r="K60" s="16"/>
      <c r="L60" s="14"/>
      <c r="M60" s="14"/>
      <c r="N60" s="14"/>
      <c r="O60" s="14"/>
      <c r="P60" s="14"/>
      <c r="Q60" s="14"/>
      <c r="R60" s="14"/>
      <c r="S60" s="14"/>
      <c r="T60" s="14"/>
      <c r="U60" s="15"/>
      <c r="V60" s="16"/>
      <c r="W60" s="16"/>
      <c r="X60" s="14"/>
      <c r="Y60" s="15"/>
      <c r="Z60" s="16"/>
      <c r="AA60" s="16"/>
      <c r="AB60" s="17"/>
    </row>
    <row r="61" spans="8:28" x14ac:dyDescent="0.25">
      <c r="H61" s="14"/>
      <c r="I61" s="14"/>
      <c r="J61" s="15"/>
      <c r="K61" s="16"/>
      <c r="L61" s="14"/>
      <c r="M61" s="14"/>
      <c r="N61" s="14"/>
      <c r="O61" s="14"/>
      <c r="P61" s="14"/>
      <c r="Q61" s="14"/>
      <c r="R61" s="14"/>
      <c r="S61" s="14"/>
      <c r="T61" s="14"/>
      <c r="U61" s="15"/>
      <c r="V61" s="16"/>
      <c r="W61" s="16"/>
      <c r="X61" s="14"/>
      <c r="Y61" s="15"/>
      <c r="Z61" s="16"/>
      <c r="AA61" s="16"/>
      <c r="AB61" s="17"/>
    </row>
    <row r="62" spans="8:28" x14ac:dyDescent="0.25">
      <c r="H62" s="14"/>
      <c r="I62" s="14"/>
      <c r="J62" s="15"/>
      <c r="K62" s="16"/>
      <c r="L62" s="14"/>
      <c r="M62" s="14"/>
      <c r="N62" s="14"/>
      <c r="O62" s="14"/>
      <c r="P62" s="14"/>
      <c r="Q62" s="14"/>
      <c r="R62" s="14"/>
      <c r="S62" s="14"/>
      <c r="T62" s="14"/>
      <c r="U62" s="15"/>
      <c r="V62" s="16"/>
      <c r="W62" s="16"/>
      <c r="X62" s="14"/>
      <c r="Y62" s="15"/>
      <c r="Z62" s="16"/>
      <c r="AA62" s="16"/>
      <c r="AB62" s="17"/>
    </row>
    <row r="63" spans="8:28" x14ac:dyDescent="0.25">
      <c r="H63" s="14"/>
      <c r="I63" s="14"/>
      <c r="J63" s="15"/>
      <c r="K63" s="16"/>
      <c r="L63" s="14"/>
      <c r="M63" s="14"/>
      <c r="N63" s="14"/>
      <c r="O63" s="14"/>
      <c r="P63" s="14"/>
      <c r="Q63" s="14"/>
      <c r="R63" s="14"/>
      <c r="S63" s="14"/>
      <c r="T63" s="14"/>
      <c r="U63" s="15"/>
      <c r="V63" s="16"/>
      <c r="W63" s="16"/>
      <c r="X63" s="14"/>
      <c r="Y63" s="15"/>
      <c r="Z63" s="16"/>
      <c r="AA63" s="16"/>
      <c r="AB63" s="17"/>
    </row>
    <row r="64" spans="8:28" x14ac:dyDescent="0.25">
      <c r="H64" s="14"/>
      <c r="I64" s="14"/>
      <c r="J64" s="15"/>
      <c r="K64" s="16"/>
      <c r="L64" s="14"/>
      <c r="M64" s="14"/>
      <c r="N64" s="14"/>
      <c r="O64" s="14"/>
      <c r="P64" s="14"/>
      <c r="Q64" s="14"/>
      <c r="R64" s="14"/>
      <c r="S64" s="14"/>
      <c r="T64" s="14"/>
      <c r="U64" s="15"/>
      <c r="V64" s="16"/>
      <c r="W64" s="16"/>
      <c r="X64" s="14"/>
      <c r="Y64" s="15"/>
      <c r="Z64" s="16"/>
      <c r="AA64" s="16"/>
      <c r="AB64" s="17"/>
    </row>
    <row r="65" spans="8:28" x14ac:dyDescent="0.25">
      <c r="H65" s="14"/>
      <c r="I65" s="14"/>
      <c r="J65" s="15"/>
      <c r="K65" s="16"/>
      <c r="L65" s="14"/>
      <c r="M65" s="14"/>
      <c r="N65" s="14"/>
      <c r="O65" s="14"/>
      <c r="P65" s="14"/>
      <c r="Q65" s="14"/>
      <c r="R65" s="14"/>
      <c r="S65" s="14"/>
      <c r="T65" s="14"/>
      <c r="U65" s="15"/>
      <c r="V65" s="16"/>
      <c r="W65" s="16"/>
      <c r="X65" s="14"/>
      <c r="Y65" s="15"/>
      <c r="Z65" s="16"/>
      <c r="AA65" s="16"/>
      <c r="AB65" s="17"/>
    </row>
    <row r="66" spans="8:28" x14ac:dyDescent="0.25">
      <c r="H66" s="14"/>
      <c r="I66" s="14"/>
      <c r="J66" s="15"/>
      <c r="K66" s="16"/>
      <c r="L66" s="14"/>
      <c r="M66" s="14"/>
      <c r="N66" s="14"/>
      <c r="O66" s="14"/>
      <c r="P66" s="14"/>
      <c r="Q66" s="14"/>
      <c r="R66" s="14"/>
      <c r="S66" s="14"/>
      <c r="T66" s="14"/>
      <c r="U66" s="15"/>
      <c r="V66" s="16"/>
      <c r="W66" s="16"/>
      <c r="X66" s="14"/>
      <c r="Y66" s="15"/>
      <c r="Z66" s="16"/>
      <c r="AA66" s="16"/>
      <c r="AB66" s="17"/>
    </row>
    <row r="67" spans="8:28" x14ac:dyDescent="0.25">
      <c r="H67" s="14"/>
      <c r="I67" s="14"/>
      <c r="J67" s="15"/>
      <c r="K67" s="16"/>
      <c r="L67" s="14"/>
      <c r="M67" s="14"/>
      <c r="N67" s="14"/>
      <c r="O67" s="14"/>
      <c r="P67" s="14"/>
      <c r="Q67" s="14"/>
      <c r="R67" s="14"/>
      <c r="S67" s="14"/>
      <c r="T67" s="14"/>
      <c r="U67" s="15"/>
      <c r="V67" s="16"/>
      <c r="W67" s="16"/>
      <c r="X67" s="14"/>
      <c r="Y67" s="15"/>
      <c r="Z67" s="16"/>
      <c r="AA67" s="16"/>
      <c r="AB67" s="17"/>
    </row>
    <row r="68" spans="8:28" x14ac:dyDescent="0.25">
      <c r="H68" s="14"/>
      <c r="I68" s="14"/>
      <c r="J68" s="15"/>
      <c r="K68" s="16"/>
      <c r="L68" s="14"/>
      <c r="M68" s="14"/>
      <c r="N68" s="14"/>
      <c r="O68" s="14"/>
      <c r="P68" s="14"/>
      <c r="Q68" s="14"/>
      <c r="R68" s="14"/>
      <c r="S68" s="14"/>
      <c r="T68" s="14"/>
      <c r="U68" s="15"/>
      <c r="V68" s="16"/>
      <c r="W68" s="16"/>
      <c r="X68" s="14"/>
      <c r="Y68" s="15"/>
      <c r="Z68" s="16"/>
      <c r="AA68" s="16"/>
      <c r="AB68" s="17"/>
    </row>
    <row r="69" spans="8:28" x14ac:dyDescent="0.25">
      <c r="H69" s="14"/>
      <c r="I69" s="14"/>
      <c r="J69" s="15"/>
      <c r="K69" s="16"/>
      <c r="L69" s="14"/>
      <c r="M69" s="14"/>
      <c r="N69" s="14"/>
      <c r="O69" s="14"/>
      <c r="P69" s="14"/>
      <c r="Q69" s="14"/>
      <c r="R69" s="14"/>
      <c r="S69" s="14"/>
      <c r="T69" s="14"/>
      <c r="U69" s="15"/>
      <c r="V69" s="16"/>
      <c r="W69" s="16"/>
      <c r="X69" s="14"/>
      <c r="Y69" s="15"/>
      <c r="Z69" s="16"/>
      <c r="AA69" s="16"/>
      <c r="AB69" s="17"/>
    </row>
    <row r="70" spans="8:28" x14ac:dyDescent="0.25">
      <c r="H70" s="14"/>
      <c r="I70" s="14"/>
      <c r="J70" s="15"/>
      <c r="K70" s="16"/>
      <c r="L70" s="14"/>
      <c r="M70" s="14"/>
      <c r="N70" s="14"/>
      <c r="O70" s="14"/>
      <c r="P70" s="14"/>
      <c r="Q70" s="14"/>
      <c r="R70" s="14"/>
      <c r="S70" s="14"/>
      <c r="T70" s="14"/>
      <c r="U70" s="15"/>
      <c r="V70" s="16"/>
      <c r="W70" s="16"/>
      <c r="X70" s="14"/>
      <c r="Y70" s="15"/>
      <c r="Z70" s="16"/>
      <c r="AA70" s="16"/>
      <c r="AB70" s="17"/>
    </row>
    <row r="71" spans="8:28" x14ac:dyDescent="0.25">
      <c r="H71" s="14"/>
      <c r="I71" s="14"/>
      <c r="J71" s="15"/>
      <c r="K71" s="16"/>
      <c r="L71" s="14"/>
      <c r="M71" s="14"/>
      <c r="N71" s="14"/>
      <c r="O71" s="14"/>
      <c r="P71" s="14"/>
      <c r="Q71" s="14"/>
      <c r="R71" s="14"/>
      <c r="S71" s="14"/>
      <c r="T71" s="14"/>
      <c r="U71" s="15"/>
      <c r="V71" s="16"/>
      <c r="W71" s="16"/>
      <c r="X71" s="14"/>
      <c r="Y71" s="15"/>
      <c r="Z71" s="16"/>
      <c r="AA71" s="16"/>
      <c r="AB71" s="17"/>
    </row>
    <row r="72" spans="8:28" x14ac:dyDescent="0.25">
      <c r="H72" s="14"/>
      <c r="I72" s="14"/>
      <c r="J72" s="15"/>
      <c r="K72" s="16"/>
      <c r="L72" s="14"/>
      <c r="M72" s="14"/>
      <c r="N72" s="14"/>
      <c r="O72" s="14"/>
      <c r="P72" s="14"/>
      <c r="Q72" s="14"/>
      <c r="R72" s="14"/>
      <c r="S72" s="14"/>
      <c r="T72" s="14"/>
      <c r="U72" s="15"/>
      <c r="V72" s="16"/>
      <c r="W72" s="16"/>
      <c r="X72" s="14"/>
      <c r="Y72" s="15"/>
      <c r="Z72" s="16"/>
      <c r="AA72" s="16"/>
      <c r="AB72" s="17"/>
    </row>
    <row r="73" spans="8:28" x14ac:dyDescent="0.25">
      <c r="H73" s="14"/>
      <c r="I73" s="14"/>
      <c r="J73" s="15"/>
      <c r="K73" s="16"/>
      <c r="L73" s="14"/>
      <c r="M73" s="14"/>
      <c r="N73" s="14"/>
      <c r="O73" s="14"/>
      <c r="P73" s="14"/>
      <c r="Q73" s="14"/>
      <c r="R73" s="14"/>
      <c r="S73" s="14"/>
      <c r="T73" s="14"/>
      <c r="U73" s="15"/>
      <c r="V73" s="16"/>
      <c r="W73" s="16"/>
      <c r="X73" s="14"/>
      <c r="Y73" s="15"/>
      <c r="Z73" s="16"/>
      <c r="AA73" s="16"/>
      <c r="AB73" s="17"/>
    </row>
    <row r="74" spans="8:28" x14ac:dyDescent="0.25">
      <c r="H74" s="15"/>
      <c r="I74" s="15"/>
      <c r="J74" s="15"/>
      <c r="K74" s="16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6"/>
      <c r="W74" s="16"/>
      <c r="X74" s="15"/>
      <c r="Y74" s="15"/>
      <c r="Z74" s="16"/>
      <c r="AA74" s="16"/>
      <c r="AB74" s="17"/>
    </row>
    <row r="75" spans="8:28" x14ac:dyDescent="0.25">
      <c r="H75" s="14"/>
      <c r="I75" s="15"/>
      <c r="J75" s="16"/>
      <c r="K75" s="16"/>
      <c r="L75" s="17"/>
      <c r="M75" s="17"/>
      <c r="N75" s="17"/>
      <c r="O75" s="17"/>
      <c r="P75" s="17"/>
      <c r="Q75" s="17"/>
      <c r="R75" s="17"/>
      <c r="S75" s="17"/>
      <c r="T75" s="14"/>
      <c r="U75" s="15"/>
      <c r="V75" s="16"/>
      <c r="W75" s="17"/>
      <c r="X75" s="14"/>
      <c r="Y75" s="15"/>
      <c r="Z75" s="16"/>
      <c r="AA75" s="17"/>
      <c r="AB75" s="17"/>
    </row>
    <row r="76" spans="8:28" x14ac:dyDescent="0.25">
      <c r="H76" s="14"/>
      <c r="I76" s="15"/>
      <c r="J76" s="16"/>
      <c r="K76" s="16"/>
      <c r="L76" s="17"/>
      <c r="M76" s="17"/>
      <c r="N76" s="17"/>
      <c r="O76" s="17"/>
      <c r="P76" s="17"/>
      <c r="Q76" s="17"/>
      <c r="R76" s="17"/>
      <c r="S76" s="17"/>
      <c r="T76" s="14"/>
      <c r="U76" s="15"/>
      <c r="V76" s="16"/>
      <c r="W76" s="17"/>
      <c r="X76" s="14"/>
      <c r="Y76" s="15"/>
      <c r="Z76" s="16"/>
      <c r="AA76" s="17"/>
      <c r="AB76" s="17"/>
    </row>
    <row r="77" spans="8:28" x14ac:dyDescent="0.25">
      <c r="H77" s="14"/>
      <c r="I77" s="15"/>
      <c r="J77" s="16"/>
      <c r="K77" s="16"/>
      <c r="L77" s="17"/>
      <c r="M77" s="17"/>
      <c r="N77" s="17"/>
      <c r="O77" s="17"/>
      <c r="P77" s="17"/>
      <c r="Q77" s="17"/>
      <c r="R77" s="17"/>
      <c r="S77" s="17"/>
      <c r="T77" s="14"/>
      <c r="U77" s="15"/>
      <c r="V77" s="16"/>
      <c r="W77" s="17"/>
      <c r="X77" s="14"/>
      <c r="Y77" s="15"/>
      <c r="Z77" s="16"/>
      <c r="AA77" s="17"/>
      <c r="AB77" s="17"/>
    </row>
    <row r="78" spans="8:28" x14ac:dyDescent="0.25">
      <c r="H78" s="14"/>
      <c r="I78" s="15"/>
      <c r="J78" s="16"/>
      <c r="K78" s="16"/>
      <c r="L78" s="17"/>
      <c r="M78" s="17"/>
      <c r="N78" s="17"/>
      <c r="O78" s="17"/>
      <c r="P78" s="17"/>
      <c r="Q78" s="17"/>
      <c r="R78" s="17"/>
      <c r="S78" s="17"/>
      <c r="T78" s="14"/>
      <c r="U78" s="15"/>
      <c r="V78" s="16"/>
      <c r="W78" s="17"/>
      <c r="X78" s="14"/>
      <c r="Y78" s="15"/>
      <c r="Z78" s="16"/>
      <c r="AA78" s="17"/>
      <c r="AB78" s="17"/>
    </row>
    <row r="79" spans="8:28" x14ac:dyDescent="0.25">
      <c r="H79" s="14"/>
      <c r="I79" s="15"/>
      <c r="J79" s="16"/>
      <c r="K79" s="16"/>
      <c r="L79" s="17"/>
      <c r="M79" s="17"/>
      <c r="N79" s="17"/>
      <c r="O79" s="17"/>
      <c r="P79" s="17"/>
      <c r="Q79" s="17"/>
      <c r="R79" s="17"/>
      <c r="S79" s="17"/>
      <c r="T79" s="14"/>
      <c r="U79" s="15"/>
      <c r="V79" s="16"/>
      <c r="W79" s="17"/>
      <c r="X79" s="14"/>
      <c r="Y79" s="15"/>
      <c r="Z79" s="16"/>
      <c r="AA79" s="17"/>
      <c r="AB79" s="17"/>
    </row>
    <row r="80" spans="8:28" x14ac:dyDescent="0.25">
      <c r="H80" s="14"/>
      <c r="I80" s="15"/>
      <c r="J80" s="16"/>
      <c r="K80" s="16"/>
      <c r="L80" s="17"/>
      <c r="M80" s="17"/>
      <c r="N80" s="17"/>
      <c r="O80" s="17"/>
      <c r="P80" s="17"/>
      <c r="Q80" s="17"/>
      <c r="R80" s="17"/>
      <c r="S80" s="17"/>
      <c r="T80" s="14"/>
      <c r="U80" s="15"/>
      <c r="V80" s="16"/>
      <c r="W80" s="17"/>
      <c r="X80" s="14"/>
      <c r="Y80" s="15"/>
      <c r="Z80" s="16"/>
      <c r="AA80" s="17"/>
      <c r="AB80" s="17"/>
    </row>
    <row r="81" spans="8:28" x14ac:dyDescent="0.25">
      <c r="H81" s="14"/>
      <c r="I81" s="15"/>
      <c r="J81" s="16"/>
      <c r="K81" s="16"/>
      <c r="L81" s="17"/>
      <c r="M81" s="17"/>
      <c r="N81" s="17"/>
      <c r="O81" s="17"/>
      <c r="P81" s="17"/>
      <c r="Q81" s="17"/>
      <c r="R81" s="17"/>
      <c r="S81" s="17"/>
      <c r="T81" s="14"/>
      <c r="U81" s="15"/>
      <c r="V81" s="16"/>
      <c r="W81" s="17"/>
      <c r="X81" s="14"/>
      <c r="Y81" s="15"/>
      <c r="Z81" s="16"/>
      <c r="AA81" s="17"/>
      <c r="AB81" s="17"/>
    </row>
    <row r="82" spans="8:28" x14ac:dyDescent="0.25">
      <c r="H82" s="14"/>
      <c r="I82" s="15"/>
      <c r="J82" s="16"/>
      <c r="K82" s="16"/>
      <c r="L82" s="17"/>
      <c r="M82" s="17"/>
      <c r="N82" s="17"/>
      <c r="O82" s="17"/>
      <c r="P82" s="17"/>
      <c r="Q82" s="17"/>
      <c r="R82" s="17"/>
      <c r="S82" s="17"/>
      <c r="T82" s="14"/>
      <c r="U82" s="15"/>
      <c r="V82" s="16"/>
      <c r="W82" s="17"/>
      <c r="X82" s="14"/>
      <c r="Y82" s="15"/>
      <c r="Z82" s="16"/>
      <c r="AA82" s="17"/>
      <c r="AB82" s="17"/>
    </row>
    <row r="83" spans="8:28" x14ac:dyDescent="0.25">
      <c r="H83" s="14"/>
      <c r="I83" s="15"/>
      <c r="J83" s="16"/>
      <c r="K83" s="16"/>
      <c r="L83" s="17"/>
      <c r="M83" s="17"/>
      <c r="N83" s="17"/>
      <c r="O83" s="17"/>
      <c r="P83" s="17"/>
      <c r="Q83" s="17"/>
      <c r="R83" s="17"/>
      <c r="S83" s="17"/>
      <c r="T83" s="14"/>
      <c r="U83" s="15"/>
      <c r="V83" s="16"/>
      <c r="W83" s="17"/>
      <c r="X83" s="14"/>
      <c r="Y83" s="15"/>
      <c r="Z83" s="16"/>
      <c r="AA83" s="17"/>
      <c r="AB83" s="17"/>
    </row>
    <row r="84" spans="8:28" x14ac:dyDescent="0.25">
      <c r="H84" s="14"/>
      <c r="I84" s="15"/>
      <c r="J84" s="16"/>
      <c r="K84" s="16"/>
      <c r="L84" s="17"/>
      <c r="M84" s="17"/>
      <c r="N84" s="17"/>
      <c r="O84" s="17"/>
      <c r="P84" s="17"/>
      <c r="Q84" s="17"/>
      <c r="R84" s="17"/>
      <c r="S84" s="17"/>
      <c r="T84" s="15"/>
      <c r="U84" s="15"/>
      <c r="V84" s="16"/>
      <c r="W84" s="17"/>
      <c r="X84" s="15"/>
      <c r="Y84" s="15"/>
      <c r="Z84" s="16"/>
      <c r="AA84" s="17"/>
      <c r="AB84" s="17"/>
    </row>
    <row r="85" spans="8:28" x14ac:dyDescent="0.25">
      <c r="H85" s="14"/>
      <c r="I85" s="15"/>
      <c r="J85" s="16"/>
      <c r="K85" s="16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</row>
    <row r="86" spans="8:28" x14ac:dyDescent="0.25">
      <c r="H86" s="14"/>
      <c r="I86" s="15"/>
      <c r="J86" s="16"/>
      <c r="K86" s="16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</row>
    <row r="87" spans="8:28" x14ac:dyDescent="0.25">
      <c r="H87" s="14"/>
      <c r="I87" s="15"/>
      <c r="J87" s="16"/>
      <c r="K87" s="16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</row>
    <row r="88" spans="8:28" x14ac:dyDescent="0.25">
      <c r="H88" s="14"/>
      <c r="I88" s="15"/>
      <c r="J88" s="16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</row>
    <row r="89" spans="8:28" x14ac:dyDescent="0.25">
      <c r="H89" s="14"/>
      <c r="I89" s="15"/>
      <c r="J89" s="16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</row>
    <row r="90" spans="8:28" x14ac:dyDescent="0.25">
      <c r="H90" s="14"/>
      <c r="I90" s="15"/>
      <c r="J90" s="16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</row>
    <row r="91" spans="8:28" x14ac:dyDescent="0.25">
      <c r="H91" s="14"/>
      <c r="I91" s="15"/>
      <c r="J91" s="16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</row>
    <row r="92" spans="8:28" x14ac:dyDescent="0.25">
      <c r="H92" s="14"/>
      <c r="I92" s="15"/>
      <c r="J92" s="16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</row>
    <row r="93" spans="8:28" x14ac:dyDescent="0.25">
      <c r="H93" s="14"/>
      <c r="I93" s="15"/>
      <c r="J93" s="16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</row>
    <row r="94" spans="8:28" x14ac:dyDescent="0.25">
      <c r="H94" s="14"/>
      <c r="I94" s="15"/>
      <c r="J94" s="16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</row>
    <row r="95" spans="8:28" x14ac:dyDescent="0.25">
      <c r="H95" s="14"/>
      <c r="I95" s="15"/>
      <c r="J95" s="16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</row>
    <row r="96" spans="8:28" x14ac:dyDescent="0.25">
      <c r="H96" s="14"/>
      <c r="I96" s="15"/>
      <c r="J96" s="16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</row>
    <row r="97" spans="8:28" x14ac:dyDescent="0.25">
      <c r="H97" s="14"/>
      <c r="I97" s="15"/>
      <c r="J97" s="16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</row>
    <row r="98" spans="8:28" x14ac:dyDescent="0.25">
      <c r="H98" s="14"/>
      <c r="I98" s="15"/>
      <c r="J98" s="16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</row>
    <row r="99" spans="8:28" x14ac:dyDescent="0.25">
      <c r="H99" s="14"/>
      <c r="I99" s="15"/>
      <c r="J99" s="16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</row>
    <row r="100" spans="8:28" x14ac:dyDescent="0.25">
      <c r="H100" s="14"/>
      <c r="I100" s="15"/>
      <c r="J100" s="16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</row>
    <row r="101" spans="8:28" x14ac:dyDescent="0.25">
      <c r="H101" s="14"/>
      <c r="I101" s="15"/>
      <c r="J101" s="16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</row>
    <row r="102" spans="8:28" x14ac:dyDescent="0.25">
      <c r="H102" s="14"/>
      <c r="I102" s="15"/>
      <c r="J102" s="16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</row>
    <row r="103" spans="8:28" x14ac:dyDescent="0.25">
      <c r="H103" s="14"/>
      <c r="I103" s="15"/>
      <c r="J103" s="16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</row>
    <row r="104" spans="8:28" x14ac:dyDescent="0.25">
      <c r="H104" s="14"/>
      <c r="I104" s="15"/>
      <c r="J104" s="16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</row>
    <row r="105" spans="8:28" x14ac:dyDescent="0.25">
      <c r="H105" s="14"/>
      <c r="I105" s="15"/>
      <c r="J105" s="16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</row>
    <row r="106" spans="8:28" x14ac:dyDescent="0.25">
      <c r="H106" s="14"/>
      <c r="I106" s="15"/>
      <c r="J106" s="16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</row>
    <row r="107" spans="8:28" x14ac:dyDescent="0.25">
      <c r="H107" s="14"/>
      <c r="I107" s="15"/>
      <c r="J107" s="16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</row>
    <row r="108" spans="8:28" x14ac:dyDescent="0.25">
      <c r="H108" s="14"/>
      <c r="I108" s="15"/>
      <c r="J108" s="16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</row>
    <row r="109" spans="8:28" x14ac:dyDescent="0.25">
      <c r="H109" s="14"/>
      <c r="I109" s="15"/>
      <c r="J109" s="16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</row>
    <row r="110" spans="8:28" x14ac:dyDescent="0.25">
      <c r="H110" s="14"/>
      <c r="I110" s="15"/>
      <c r="J110" s="16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</row>
    <row r="111" spans="8:28" x14ac:dyDescent="0.25">
      <c r="H111" s="14"/>
      <c r="I111" s="15"/>
      <c r="J111" s="16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</row>
    <row r="112" spans="8:28" x14ac:dyDescent="0.25">
      <c r="H112" s="14"/>
      <c r="I112" s="15"/>
      <c r="J112" s="16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</row>
    <row r="113" spans="8:28" x14ac:dyDescent="0.25">
      <c r="H113" s="14"/>
      <c r="I113" s="15"/>
      <c r="J113" s="16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</row>
    <row r="114" spans="8:28" x14ac:dyDescent="0.25">
      <c r="H114" s="2"/>
      <c r="I114" s="3"/>
      <c r="J114" s="5"/>
    </row>
    <row r="115" spans="8:28" x14ac:dyDescent="0.25">
      <c r="H115" s="2"/>
      <c r="I115" s="3"/>
      <c r="J115" s="5"/>
    </row>
    <row r="116" spans="8:28" x14ac:dyDescent="0.25">
      <c r="H116" s="2"/>
      <c r="I116" s="3"/>
      <c r="J116" s="5"/>
    </row>
    <row r="117" spans="8:28" x14ac:dyDescent="0.25">
      <c r="H117" s="2"/>
      <c r="I117" s="3"/>
      <c r="J117" s="5"/>
    </row>
    <row r="118" spans="8:28" x14ac:dyDescent="0.25">
      <c r="H118" s="2"/>
      <c r="I118" s="3"/>
      <c r="J118" s="5"/>
    </row>
    <row r="119" spans="8:28" x14ac:dyDescent="0.25">
      <c r="H119" s="2"/>
      <c r="I119" s="3"/>
      <c r="J119" s="5"/>
    </row>
    <row r="120" spans="8:28" x14ac:dyDescent="0.25">
      <c r="H120" s="2"/>
      <c r="I120" s="3"/>
      <c r="J120" s="5"/>
    </row>
    <row r="121" spans="8:28" x14ac:dyDescent="0.25">
      <c r="H121" s="2"/>
      <c r="I121" s="3"/>
      <c r="J121" s="5"/>
    </row>
    <row r="122" spans="8:28" x14ac:dyDescent="0.25">
      <c r="H122" s="2"/>
      <c r="I122" s="3"/>
      <c r="J122" s="5"/>
    </row>
    <row r="123" spans="8:28" x14ac:dyDescent="0.25">
      <c r="H123" s="2"/>
      <c r="I123" s="3"/>
      <c r="J123" s="5"/>
    </row>
    <row r="124" spans="8:28" x14ac:dyDescent="0.25">
      <c r="H124" s="2"/>
      <c r="I124" s="3"/>
      <c r="J124" s="5"/>
    </row>
    <row r="125" spans="8:28" x14ac:dyDescent="0.25">
      <c r="H125" s="2"/>
      <c r="I125" s="3"/>
      <c r="J125" s="5"/>
    </row>
    <row r="126" spans="8:28" x14ac:dyDescent="0.25">
      <c r="H126" s="2"/>
      <c r="I126" s="3"/>
      <c r="J126" s="5"/>
    </row>
    <row r="127" spans="8:28" x14ac:dyDescent="0.25">
      <c r="H127" s="2"/>
      <c r="I127" s="3"/>
      <c r="J127" s="5"/>
    </row>
    <row r="128" spans="8:28" x14ac:dyDescent="0.25">
      <c r="H128" s="2"/>
      <c r="I128" s="3"/>
      <c r="J128" s="5"/>
    </row>
    <row r="129" spans="8:10" x14ac:dyDescent="0.25">
      <c r="H129" s="2"/>
      <c r="I129" s="3"/>
      <c r="J129" s="5"/>
    </row>
    <row r="130" spans="8:10" x14ac:dyDescent="0.25">
      <c r="H130" s="2"/>
      <c r="I130" s="3"/>
      <c r="J130" s="5"/>
    </row>
    <row r="131" spans="8:10" x14ac:dyDescent="0.25">
      <c r="H131" s="2"/>
      <c r="I131" s="3"/>
      <c r="J131" s="5"/>
    </row>
    <row r="132" spans="8:10" x14ac:dyDescent="0.25">
      <c r="H132" s="2"/>
      <c r="I132" s="3"/>
      <c r="J132" s="5"/>
    </row>
    <row r="133" spans="8:10" x14ac:dyDescent="0.25">
      <c r="H133" s="2"/>
      <c r="I133" s="3"/>
      <c r="J133" s="5"/>
    </row>
    <row r="134" spans="8:10" x14ac:dyDescent="0.25">
      <c r="H134" s="2"/>
      <c r="I134" s="3"/>
      <c r="J134" s="5"/>
    </row>
    <row r="135" spans="8:10" x14ac:dyDescent="0.25">
      <c r="H135" s="2"/>
      <c r="I135" s="3"/>
      <c r="J135" s="5"/>
    </row>
    <row r="136" spans="8:10" x14ac:dyDescent="0.25">
      <c r="H136" s="2"/>
      <c r="I136" s="3"/>
      <c r="J136" s="5"/>
    </row>
    <row r="137" spans="8:10" x14ac:dyDescent="0.25">
      <c r="H137" s="2"/>
      <c r="I137" s="3"/>
      <c r="J137" s="5"/>
    </row>
    <row r="138" spans="8:10" x14ac:dyDescent="0.25">
      <c r="H138" s="2"/>
      <c r="I138" s="3"/>
      <c r="J138" s="5"/>
    </row>
    <row r="139" spans="8:10" x14ac:dyDescent="0.25">
      <c r="H139" s="2"/>
      <c r="I139" s="3"/>
      <c r="J139" s="5"/>
    </row>
    <row r="140" spans="8:10" x14ac:dyDescent="0.25">
      <c r="H140" s="2"/>
      <c r="I140" s="3"/>
      <c r="J140" s="5"/>
    </row>
    <row r="141" spans="8:10" x14ac:dyDescent="0.25">
      <c r="H141" s="2"/>
      <c r="I141" s="3"/>
      <c r="J141" s="5"/>
    </row>
    <row r="142" spans="8:10" x14ac:dyDescent="0.25">
      <c r="H142" s="2"/>
      <c r="I142" s="3"/>
      <c r="J142" s="5"/>
    </row>
    <row r="143" spans="8:10" x14ac:dyDescent="0.25">
      <c r="H143" s="2"/>
      <c r="I143" s="3"/>
      <c r="J143" s="5"/>
    </row>
    <row r="144" spans="8:10" ht="15.75" thickBot="1" x14ac:dyDescent="0.3">
      <c r="H144" s="4"/>
      <c r="I144" s="4"/>
      <c r="J144" s="6"/>
    </row>
    <row r="145" spans="8:10" x14ac:dyDescent="0.25">
      <c r="H145" s="7"/>
      <c r="I145" s="7"/>
      <c r="J145" s="7"/>
    </row>
  </sheetData>
  <sortState xmlns:xlrd2="http://schemas.microsoft.com/office/spreadsheetml/2017/richdata2" ref="L3:L22">
    <sortCondition ref="L3"/>
  </sortState>
  <mergeCells count="1">
    <mergeCell ref="A22:D2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BA587-4BC8-417D-8701-7EEA7FEA3F29}">
  <sheetPr codeName="Лист3"/>
  <dimension ref="A1:AB145"/>
  <sheetViews>
    <sheetView topLeftCell="H1" zoomScaleNormal="100" workbookViewId="0">
      <selection activeCell="O36" sqref="O36"/>
    </sheetView>
  </sheetViews>
  <sheetFormatPr defaultRowHeight="15" x14ac:dyDescent="0.25"/>
  <cols>
    <col min="1" max="1" width="19" customWidth="1"/>
    <col min="2" max="2" width="24.5703125" customWidth="1"/>
    <col min="3" max="3" width="27.7109375" customWidth="1"/>
    <col min="4" max="4" width="29" customWidth="1"/>
    <col min="6" max="6" width="26.7109375" customWidth="1"/>
    <col min="9" max="9" width="10.7109375" customWidth="1"/>
    <col min="10" max="10" width="17.7109375" customWidth="1"/>
    <col min="11" max="11" width="16.85546875" customWidth="1"/>
    <col min="13" max="13" width="13.140625" customWidth="1"/>
    <col min="14" max="14" width="16.5703125" customWidth="1"/>
    <col min="15" max="15" width="17.28515625" customWidth="1"/>
    <col min="16" max="16" width="9.140625" customWidth="1"/>
    <col min="17" max="17" width="12.140625" customWidth="1"/>
    <col min="18" max="18" width="14.85546875" customWidth="1"/>
    <col min="19" max="19" width="18.7109375" customWidth="1"/>
    <col min="20" max="20" width="9.7109375" customWidth="1"/>
    <col min="21" max="21" width="16.140625" customWidth="1"/>
    <col min="22" max="22" width="10.7109375" customWidth="1"/>
    <col min="23" max="23" width="18.28515625" customWidth="1"/>
    <col min="24" max="24" width="9.28515625" customWidth="1"/>
    <col min="25" max="25" width="16.7109375" customWidth="1"/>
    <col min="26" max="26" width="15.7109375" customWidth="1"/>
    <col min="27" max="27" width="18.140625" customWidth="1"/>
  </cols>
  <sheetData>
    <row r="1" spans="1:28" ht="32.25" thickBot="1" x14ac:dyDescent="0.3">
      <c r="A1" s="22" t="s">
        <v>9</v>
      </c>
      <c r="B1" s="22" t="s">
        <v>5</v>
      </c>
      <c r="C1" s="23" t="s">
        <v>10</v>
      </c>
      <c r="D1" s="23" t="s">
        <v>6</v>
      </c>
      <c r="F1" s="21" t="s">
        <v>11</v>
      </c>
    </row>
    <row r="2" spans="1:28" ht="15.75" x14ac:dyDescent="0.25">
      <c r="A2" s="18"/>
      <c r="B2" s="12">
        <v>-1.3357956505173307</v>
      </c>
      <c r="C2">
        <v>-0.27497128015077005</v>
      </c>
      <c r="D2">
        <v>0.60490145482966362</v>
      </c>
      <c r="F2" s="24">
        <v>-2.4</v>
      </c>
      <c r="H2" s="34" t="s">
        <v>15</v>
      </c>
      <c r="I2" s="34" t="s">
        <v>17</v>
      </c>
      <c r="J2" s="34" t="s">
        <v>18</v>
      </c>
      <c r="K2" s="29"/>
      <c r="L2" s="34" t="s">
        <v>15</v>
      </c>
      <c r="M2" s="34" t="s">
        <v>17</v>
      </c>
      <c r="N2" s="34" t="s">
        <v>18</v>
      </c>
      <c r="P2" s="34" t="s">
        <v>15</v>
      </c>
      <c r="Q2" s="34" t="s">
        <v>17</v>
      </c>
      <c r="R2" s="34" t="s">
        <v>18</v>
      </c>
      <c r="S2" s="29"/>
      <c r="T2" s="13"/>
      <c r="X2" s="13"/>
      <c r="Y2" s="13"/>
      <c r="Z2" s="13"/>
      <c r="AA2" s="13"/>
      <c r="AB2" s="17"/>
    </row>
    <row r="3" spans="1:28" ht="15.75" x14ac:dyDescent="0.25">
      <c r="A3" s="18"/>
      <c r="B3" s="12">
        <v>0.6119659306150379</v>
      </c>
      <c r="C3">
        <v>-0.32532944688644178</v>
      </c>
      <c r="D3">
        <v>1.2363920436742066</v>
      </c>
      <c r="F3" s="24">
        <v>-2.2000000000000002</v>
      </c>
      <c r="H3" s="2">
        <v>-2.4</v>
      </c>
      <c r="I3" s="3">
        <v>3</v>
      </c>
      <c r="J3" s="5">
        <v>0.15</v>
      </c>
      <c r="K3" s="5"/>
      <c r="L3" s="2">
        <v>-2.4</v>
      </c>
      <c r="M3" s="3">
        <v>1</v>
      </c>
      <c r="N3" s="5">
        <v>0.05</v>
      </c>
      <c r="P3" s="2">
        <v>-2.4</v>
      </c>
      <c r="Q3" s="3">
        <v>0</v>
      </c>
      <c r="R3" s="5">
        <v>0</v>
      </c>
      <c r="S3" s="5"/>
      <c r="T3" s="14"/>
      <c r="X3" s="14"/>
      <c r="Y3" s="15"/>
      <c r="Z3" s="16"/>
      <c r="AA3" s="16"/>
      <c r="AB3" s="17"/>
    </row>
    <row r="4" spans="1:28" ht="15.75" x14ac:dyDescent="0.25">
      <c r="A4" s="18"/>
      <c r="B4" s="12">
        <v>-3.0357017426791897</v>
      </c>
      <c r="C4">
        <v>1.65944005130427</v>
      </c>
      <c r="D4">
        <v>0.97196963155237448</v>
      </c>
      <c r="F4" s="24">
        <v>-2</v>
      </c>
      <c r="H4" s="2">
        <v>-2.2000000000000002</v>
      </c>
      <c r="I4" s="3">
        <v>0</v>
      </c>
      <c r="J4" s="5">
        <v>0.15</v>
      </c>
      <c r="K4" s="5"/>
      <c r="L4" s="2">
        <v>-2.2000000000000002</v>
      </c>
      <c r="M4" s="3">
        <v>0</v>
      </c>
      <c r="N4" s="5">
        <v>0.05</v>
      </c>
      <c r="P4" s="2">
        <v>-2.2000000000000002</v>
      </c>
      <c r="Q4" s="3">
        <v>0</v>
      </c>
      <c r="R4" s="5">
        <v>0</v>
      </c>
      <c r="S4" s="5"/>
      <c r="T4" s="14"/>
      <c r="X4" s="14"/>
      <c r="Y4" s="15"/>
      <c r="Z4" s="16"/>
      <c r="AA4" s="16"/>
      <c r="AB4" s="17"/>
    </row>
    <row r="5" spans="1:28" ht="15.75" x14ac:dyDescent="0.25">
      <c r="A5" s="18"/>
      <c r="B5" s="12">
        <v>8.8222377858084067E-2</v>
      </c>
      <c r="C5">
        <v>1.4415361447012227</v>
      </c>
      <c r="D5">
        <v>1.2654836454555625</v>
      </c>
      <c r="F5" s="24">
        <v>-1.8</v>
      </c>
      <c r="H5" s="2">
        <v>-2</v>
      </c>
      <c r="I5" s="3">
        <v>0</v>
      </c>
      <c r="J5" s="5">
        <v>0.15</v>
      </c>
      <c r="K5" s="5"/>
      <c r="L5" s="2">
        <v>-2</v>
      </c>
      <c r="M5" s="3">
        <v>1</v>
      </c>
      <c r="N5" s="5">
        <v>0.1</v>
      </c>
      <c r="P5" s="2">
        <v>-2</v>
      </c>
      <c r="Q5" s="3">
        <v>0</v>
      </c>
      <c r="R5" s="5">
        <v>0</v>
      </c>
      <c r="S5" s="5"/>
      <c r="T5" s="14"/>
      <c r="X5" s="14"/>
      <c r="Y5" s="15"/>
      <c r="Z5" s="16"/>
      <c r="AA5" s="16"/>
      <c r="AB5" s="17"/>
    </row>
    <row r="6" spans="1:28" ht="15.75" x14ac:dyDescent="0.25">
      <c r="A6" s="18"/>
      <c r="B6" s="12">
        <v>2.1664277232553522</v>
      </c>
      <c r="C6">
        <v>1.623360936051538</v>
      </c>
      <c r="D6">
        <v>1.4354367043314298</v>
      </c>
      <c r="F6" s="24">
        <v>-1.6</v>
      </c>
      <c r="H6" s="2">
        <v>-1.8</v>
      </c>
      <c r="I6" s="3">
        <v>0</v>
      </c>
      <c r="J6" s="5">
        <v>0.15</v>
      </c>
      <c r="K6" s="5"/>
      <c r="L6" s="2">
        <v>-1.8</v>
      </c>
      <c r="M6" s="3">
        <v>0</v>
      </c>
      <c r="N6" s="5">
        <v>0.1</v>
      </c>
      <c r="P6" s="2">
        <v>-1.8</v>
      </c>
      <c r="Q6" s="3">
        <v>0</v>
      </c>
      <c r="R6" s="5">
        <v>0</v>
      </c>
      <c r="S6" s="5"/>
      <c r="T6" s="14"/>
      <c r="X6" s="14"/>
      <c r="Y6" s="15"/>
      <c r="Z6" s="16"/>
      <c r="AA6" s="16"/>
      <c r="AB6" s="17"/>
    </row>
    <row r="7" spans="1:28" ht="15.75" x14ac:dyDescent="0.25">
      <c r="A7" s="18"/>
      <c r="B7" s="12">
        <v>1.2595638011328913</v>
      </c>
      <c r="C7">
        <v>1.0198094548462033</v>
      </c>
      <c r="D7">
        <v>1.0057737366370882</v>
      </c>
      <c r="F7" s="24">
        <v>-1.4</v>
      </c>
      <c r="H7" s="2">
        <v>-1.6</v>
      </c>
      <c r="I7" s="3">
        <v>0</v>
      </c>
      <c r="J7" s="5">
        <v>0.15</v>
      </c>
      <c r="K7" s="5"/>
      <c r="L7" s="2">
        <v>-1.6</v>
      </c>
      <c r="M7" s="3">
        <v>0</v>
      </c>
      <c r="N7" s="5">
        <v>0.1</v>
      </c>
      <c r="P7" s="2">
        <v>-1.6</v>
      </c>
      <c r="Q7" s="3">
        <v>0</v>
      </c>
      <c r="R7" s="5">
        <v>0</v>
      </c>
      <c r="S7" s="5"/>
      <c r="T7" s="14"/>
      <c r="X7" s="14"/>
      <c r="Y7" s="15"/>
      <c r="Z7" s="16"/>
      <c r="AA7" s="16"/>
      <c r="AB7" s="17"/>
    </row>
    <row r="8" spans="1:28" ht="15.75" x14ac:dyDescent="0.25">
      <c r="A8" s="18"/>
      <c r="B8" s="12">
        <v>1.5170237197414955</v>
      </c>
      <c r="C8">
        <v>1.3682952485495614</v>
      </c>
      <c r="D8">
        <v>1.3072796037762673</v>
      </c>
      <c r="F8" s="24">
        <v>-1.2</v>
      </c>
      <c r="H8" s="2">
        <v>-1.4</v>
      </c>
      <c r="I8" s="3">
        <v>0</v>
      </c>
      <c r="J8" s="5">
        <v>0.15</v>
      </c>
      <c r="K8" s="5"/>
      <c r="L8" s="2">
        <v>-1.4</v>
      </c>
      <c r="M8" s="3">
        <v>0</v>
      </c>
      <c r="N8" s="5">
        <v>0.1</v>
      </c>
      <c r="P8" s="2">
        <v>-1.4</v>
      </c>
      <c r="Q8" s="3">
        <v>0</v>
      </c>
      <c r="R8" s="5">
        <v>0</v>
      </c>
      <c r="S8" s="5"/>
      <c r="T8" s="14"/>
      <c r="X8" s="14"/>
      <c r="Y8" s="15"/>
      <c r="Z8" s="16"/>
      <c r="AA8" s="16"/>
      <c r="AB8" s="17"/>
    </row>
    <row r="9" spans="1:28" ht="15.75" x14ac:dyDescent="0.25">
      <c r="A9" s="18"/>
      <c r="B9" s="12">
        <v>1.0495959432339066</v>
      </c>
      <c r="C9">
        <v>1.2267624788182048</v>
      </c>
      <c r="D9">
        <v>1.1246793629240952</v>
      </c>
      <c r="F9" s="24">
        <v>-1</v>
      </c>
      <c r="H9" s="2">
        <v>-1.2</v>
      </c>
      <c r="I9" s="3">
        <v>1</v>
      </c>
      <c r="J9" s="5">
        <v>0.2</v>
      </c>
      <c r="K9" s="5"/>
      <c r="L9" s="2">
        <v>-1.2</v>
      </c>
      <c r="M9" s="3">
        <v>0</v>
      </c>
      <c r="N9" s="5">
        <v>0.1</v>
      </c>
      <c r="P9" s="2">
        <v>-1.2</v>
      </c>
      <c r="Q9" s="3">
        <v>0</v>
      </c>
      <c r="R9" s="5">
        <v>0</v>
      </c>
      <c r="S9" s="5"/>
      <c r="T9" s="14"/>
      <c r="X9" s="14"/>
      <c r="Y9" s="15"/>
      <c r="Z9" s="16"/>
      <c r="AA9" s="16"/>
      <c r="AB9" s="17"/>
    </row>
    <row r="10" spans="1:28" ht="15.75" x14ac:dyDescent="0.25">
      <c r="A10" s="18"/>
      <c r="B10" s="12">
        <v>-2.9289992172125219</v>
      </c>
      <c r="C10">
        <v>1.221206998824393</v>
      </c>
      <c r="D10">
        <v>0.60457138403701305</v>
      </c>
      <c r="F10" s="24">
        <v>-0.8</v>
      </c>
      <c r="H10" s="2">
        <v>-1</v>
      </c>
      <c r="I10" s="3">
        <v>0</v>
      </c>
      <c r="J10" s="5">
        <v>0.2</v>
      </c>
      <c r="K10" s="5"/>
      <c r="L10" s="2">
        <v>-1</v>
      </c>
      <c r="M10" s="3">
        <v>0</v>
      </c>
      <c r="N10" s="5">
        <v>0.1</v>
      </c>
      <c r="P10" s="2">
        <v>-1</v>
      </c>
      <c r="Q10" s="3">
        <v>0</v>
      </c>
      <c r="R10" s="5">
        <v>0</v>
      </c>
      <c r="S10" s="5"/>
      <c r="T10" s="14"/>
      <c r="X10" s="14"/>
      <c r="Y10" s="15"/>
      <c r="Z10" s="16"/>
      <c r="AA10" s="16"/>
      <c r="AB10" s="17"/>
    </row>
    <row r="11" spans="1:28" ht="15.75" x14ac:dyDescent="0.25">
      <c r="A11" s="18"/>
      <c r="B11" s="12">
        <v>-2.979947172455033</v>
      </c>
      <c r="C11">
        <v>0.81935743938191796</v>
      </c>
      <c r="D11">
        <v>1.1127059922613529</v>
      </c>
      <c r="F11" s="24">
        <v>-0.6</v>
      </c>
      <c r="H11" s="2">
        <v>-0.8</v>
      </c>
      <c r="I11" s="3">
        <v>0</v>
      </c>
      <c r="J11" s="5">
        <v>0.2</v>
      </c>
      <c r="K11" s="5"/>
      <c r="L11" s="2">
        <v>-0.8</v>
      </c>
      <c r="M11" s="3">
        <v>0</v>
      </c>
      <c r="N11" s="5">
        <v>0.1</v>
      </c>
      <c r="P11" s="2">
        <v>-0.8</v>
      </c>
      <c r="Q11" s="3">
        <v>0</v>
      </c>
      <c r="R11" s="5">
        <v>0</v>
      </c>
      <c r="S11" s="5"/>
      <c r="T11" s="14"/>
      <c r="X11" s="14"/>
      <c r="Y11" s="15"/>
      <c r="Z11" s="16"/>
      <c r="AA11" s="16"/>
      <c r="AB11" s="17"/>
    </row>
    <row r="12" spans="1:28" ht="15.75" x14ac:dyDescent="0.25">
      <c r="A12" s="18"/>
      <c r="B12" s="12">
        <v>-0.55107591441525505</v>
      </c>
      <c r="C12">
        <v>1.0486346802848048</v>
      </c>
      <c r="D12">
        <v>0.46195470259013416</v>
      </c>
      <c r="F12" s="24">
        <v>-0.4</v>
      </c>
      <c r="H12" s="2">
        <v>-0.6</v>
      </c>
      <c r="I12" s="3">
        <v>0</v>
      </c>
      <c r="J12" s="5">
        <v>0.2</v>
      </c>
      <c r="K12" s="5"/>
      <c r="L12" s="2">
        <v>-0.6</v>
      </c>
      <c r="M12" s="3">
        <v>1</v>
      </c>
      <c r="N12" s="5">
        <v>0.15</v>
      </c>
      <c r="P12" s="2">
        <v>-0.6</v>
      </c>
      <c r="Q12" s="3">
        <v>0</v>
      </c>
      <c r="R12" s="5">
        <v>0</v>
      </c>
      <c r="S12" s="5"/>
      <c r="T12" s="14"/>
      <c r="X12" s="14"/>
      <c r="Y12" s="15"/>
      <c r="Z12" s="16"/>
      <c r="AA12" s="16"/>
      <c r="AB12" s="17"/>
    </row>
    <row r="13" spans="1:28" ht="15.75" x14ac:dyDescent="0.25">
      <c r="A13" s="18"/>
      <c r="B13" s="12">
        <v>1.3572895500102093</v>
      </c>
      <c r="C13">
        <v>-3.4305558178959528</v>
      </c>
      <c r="D13">
        <v>0.59818326428307134</v>
      </c>
      <c r="F13" s="24">
        <v>-0.2</v>
      </c>
      <c r="H13" s="2">
        <v>-0.4</v>
      </c>
      <c r="I13" s="3">
        <v>2</v>
      </c>
      <c r="J13" s="5">
        <v>0.3</v>
      </c>
      <c r="K13" s="5"/>
      <c r="L13" s="2">
        <v>-0.4</v>
      </c>
      <c r="M13" s="3">
        <v>1</v>
      </c>
      <c r="N13" s="5">
        <v>0.2</v>
      </c>
      <c r="P13" s="2">
        <v>-0.4</v>
      </c>
      <c r="Q13" s="3">
        <v>0</v>
      </c>
      <c r="R13" s="5">
        <v>0</v>
      </c>
      <c r="S13" s="5"/>
      <c r="T13" s="14"/>
      <c r="X13" s="14"/>
      <c r="Y13" s="15"/>
      <c r="Z13" s="16"/>
      <c r="AA13" s="16"/>
      <c r="AB13" s="17"/>
    </row>
    <row r="14" spans="1:28" ht="15.75" x14ac:dyDescent="0.25">
      <c r="A14" s="18"/>
      <c r="B14" s="12">
        <v>1.2462778078995356</v>
      </c>
      <c r="C14">
        <v>1.4303668143431234</v>
      </c>
      <c r="D14">
        <v>1.0866229392364422</v>
      </c>
      <c r="F14" s="24">
        <v>0</v>
      </c>
      <c r="H14" s="2">
        <v>-0.2</v>
      </c>
      <c r="I14" s="3">
        <v>1</v>
      </c>
      <c r="J14" s="5">
        <v>0.35</v>
      </c>
      <c r="K14" s="5"/>
      <c r="L14" s="2">
        <v>-0.2</v>
      </c>
      <c r="M14" s="3">
        <v>2</v>
      </c>
      <c r="N14" s="5">
        <v>0.3</v>
      </c>
      <c r="P14" s="2">
        <v>-0.2</v>
      </c>
      <c r="Q14" s="3">
        <v>0</v>
      </c>
      <c r="R14" s="5">
        <v>0</v>
      </c>
      <c r="S14" s="5"/>
      <c r="T14" s="14"/>
      <c r="X14" s="14"/>
      <c r="Y14" s="15"/>
      <c r="Z14" s="16"/>
      <c r="AA14" s="16"/>
      <c r="AB14" s="17"/>
    </row>
    <row r="15" spans="1:28" ht="15.75" x14ac:dyDescent="0.25">
      <c r="A15" s="18"/>
      <c r="B15" s="12">
        <v>-0.21787295766231818</v>
      </c>
      <c r="C15">
        <v>-0.52914914784143996</v>
      </c>
      <c r="D15">
        <v>0.83248027320031737</v>
      </c>
      <c r="F15" s="24">
        <v>0.2</v>
      </c>
      <c r="H15" s="2">
        <v>0</v>
      </c>
      <c r="I15" s="3">
        <v>0</v>
      </c>
      <c r="J15" s="5">
        <v>0.35</v>
      </c>
      <c r="K15" s="5"/>
      <c r="L15" s="2">
        <v>0</v>
      </c>
      <c r="M15" s="3">
        <v>0</v>
      </c>
      <c r="N15" s="5">
        <v>0.3</v>
      </c>
      <c r="P15" s="2">
        <v>0</v>
      </c>
      <c r="Q15" s="3">
        <v>0</v>
      </c>
      <c r="R15" s="5">
        <v>0</v>
      </c>
      <c r="S15" s="5"/>
      <c r="T15" s="14"/>
      <c r="X15" s="14"/>
      <c r="Y15" s="15"/>
      <c r="Z15" s="16"/>
      <c r="AA15" s="16"/>
      <c r="AB15" s="17"/>
    </row>
    <row r="16" spans="1:28" ht="15.75" x14ac:dyDescent="0.25">
      <c r="A16" s="18"/>
      <c r="B16" s="12">
        <v>4.1483915687824746</v>
      </c>
      <c r="C16">
        <v>-2.1965550100003668</v>
      </c>
      <c r="D16">
        <v>1.1568271188508761</v>
      </c>
      <c r="F16" s="24">
        <v>0.4</v>
      </c>
      <c r="H16" s="2">
        <v>0.2</v>
      </c>
      <c r="I16" s="3">
        <v>1</v>
      </c>
      <c r="J16" s="5">
        <v>0.4</v>
      </c>
      <c r="K16" s="5"/>
      <c r="L16" s="2">
        <v>0.2</v>
      </c>
      <c r="M16" s="3">
        <v>0</v>
      </c>
      <c r="N16" s="5">
        <v>0.3</v>
      </c>
      <c r="P16" s="2">
        <v>0.2</v>
      </c>
      <c r="Q16" s="3">
        <v>0</v>
      </c>
      <c r="R16" s="5">
        <v>0</v>
      </c>
      <c r="S16" s="5"/>
      <c r="T16" s="14"/>
      <c r="X16" s="14"/>
      <c r="Y16" s="15"/>
      <c r="Z16" s="16"/>
      <c r="AA16" s="16"/>
      <c r="AB16" s="17"/>
    </row>
    <row r="17" spans="1:28" ht="15.75" x14ac:dyDescent="0.25">
      <c r="A17" s="18"/>
      <c r="B17" s="12">
        <v>3.817975186270373</v>
      </c>
      <c r="C17">
        <v>0.57032947630204744</v>
      </c>
      <c r="D17">
        <v>0.69247095403987291</v>
      </c>
      <c r="F17" s="24">
        <v>0.6</v>
      </c>
      <c r="H17" s="2">
        <v>0.4</v>
      </c>
      <c r="I17" s="3">
        <v>1</v>
      </c>
      <c r="J17" s="5">
        <v>0.45</v>
      </c>
      <c r="K17" s="5"/>
      <c r="L17" s="2">
        <v>0.4</v>
      </c>
      <c r="M17" s="3">
        <v>0</v>
      </c>
      <c r="N17" s="5">
        <v>0.3</v>
      </c>
      <c r="P17" s="2">
        <v>0.4</v>
      </c>
      <c r="Q17" s="3">
        <v>0</v>
      </c>
      <c r="R17" s="5">
        <v>0</v>
      </c>
      <c r="S17" s="5"/>
      <c r="T17" s="14"/>
      <c r="X17" s="14"/>
      <c r="Y17" s="15"/>
      <c r="Z17" s="16"/>
      <c r="AA17" s="16"/>
      <c r="AB17" s="17"/>
    </row>
    <row r="18" spans="1:28" ht="15.75" x14ac:dyDescent="0.25">
      <c r="A18" s="18"/>
      <c r="B18" s="12">
        <v>4.3017949407814191</v>
      </c>
      <c r="C18">
        <v>-0.67068416993287294</v>
      </c>
      <c r="D18">
        <v>0.69581751422396532</v>
      </c>
      <c r="F18" s="24">
        <v>0.8</v>
      </c>
      <c r="H18" s="2">
        <v>0.6</v>
      </c>
      <c r="I18" s="3">
        <v>0</v>
      </c>
      <c r="J18" s="5">
        <v>0.45</v>
      </c>
      <c r="K18" s="5"/>
      <c r="L18" s="2">
        <v>0.6</v>
      </c>
      <c r="M18" s="3">
        <v>2</v>
      </c>
      <c r="N18" s="5">
        <v>0.4</v>
      </c>
      <c r="P18" s="2">
        <v>0.6</v>
      </c>
      <c r="Q18" s="3">
        <v>2</v>
      </c>
      <c r="R18" s="5">
        <v>0.1</v>
      </c>
      <c r="S18" s="5"/>
      <c r="T18" s="14"/>
      <c r="X18" s="14"/>
      <c r="Y18" s="15"/>
      <c r="Z18" s="16"/>
      <c r="AA18" s="16"/>
      <c r="AB18" s="17"/>
    </row>
    <row r="19" spans="1:28" ht="15.75" x14ac:dyDescent="0.25">
      <c r="A19" s="18"/>
      <c r="B19" s="12">
        <v>-0.459611680284989</v>
      </c>
      <c r="C19">
        <v>4.9196832252031788</v>
      </c>
      <c r="D19">
        <v>0.96966626066277151</v>
      </c>
      <c r="F19" s="24">
        <v>1</v>
      </c>
      <c r="H19" s="2">
        <v>0.8</v>
      </c>
      <c r="I19" s="3">
        <v>2</v>
      </c>
      <c r="J19" s="5">
        <v>0.55000000000000004</v>
      </c>
      <c r="K19" s="5"/>
      <c r="L19" s="2">
        <v>0.8</v>
      </c>
      <c r="M19" s="3">
        <v>0</v>
      </c>
      <c r="N19" s="5">
        <v>0.4</v>
      </c>
      <c r="P19" s="2">
        <v>0.8</v>
      </c>
      <c r="Q19" s="3">
        <v>4</v>
      </c>
      <c r="R19" s="5">
        <v>0.3</v>
      </c>
      <c r="S19" s="5"/>
      <c r="T19" s="14"/>
      <c r="X19" s="14"/>
      <c r="Y19" s="15"/>
      <c r="Z19" s="16"/>
      <c r="AA19" s="16"/>
      <c r="AB19" s="17"/>
    </row>
    <row r="20" spans="1:28" ht="15.75" x14ac:dyDescent="0.25">
      <c r="A20" s="18"/>
      <c r="B20" s="12">
        <v>0.60629758264995681</v>
      </c>
      <c r="C20">
        <v>1.7639920189020475</v>
      </c>
      <c r="D20">
        <v>1.0825572627987787</v>
      </c>
      <c r="F20" s="24">
        <v>1.2</v>
      </c>
      <c r="H20" s="2">
        <v>1</v>
      </c>
      <c r="I20" s="3">
        <v>0</v>
      </c>
      <c r="J20" s="5">
        <v>0.55000000000000004</v>
      </c>
      <c r="K20" s="5"/>
      <c r="L20" s="2">
        <v>1</v>
      </c>
      <c r="M20" s="3">
        <v>1</v>
      </c>
      <c r="N20" s="5">
        <v>0.45</v>
      </c>
      <c r="P20" s="2">
        <v>1</v>
      </c>
      <c r="Q20" s="3">
        <v>3</v>
      </c>
      <c r="R20" s="5">
        <v>0.45</v>
      </c>
      <c r="S20" s="5"/>
      <c r="T20" s="14"/>
      <c r="X20" s="14"/>
      <c r="Y20" s="15"/>
      <c r="Z20" s="16"/>
      <c r="AA20" s="16"/>
      <c r="AB20" s="17"/>
    </row>
    <row r="21" spans="1:28" ht="15.75" x14ac:dyDescent="0.25">
      <c r="A21" s="18"/>
      <c r="B21" s="12">
        <v>0.26398243043835123</v>
      </c>
      <c r="C21">
        <v>0.40734124435277125</v>
      </c>
      <c r="D21">
        <v>1.4139706038106679</v>
      </c>
      <c r="F21" s="24">
        <v>1.3999999999999899</v>
      </c>
      <c r="H21" s="2">
        <v>1.2</v>
      </c>
      <c r="I21" s="3">
        <v>1</v>
      </c>
      <c r="J21" s="5">
        <v>0.6</v>
      </c>
      <c r="K21" s="5"/>
      <c r="L21" s="2">
        <v>1.2</v>
      </c>
      <c r="M21" s="3">
        <v>2</v>
      </c>
      <c r="N21" s="5">
        <v>0.55000000000000004</v>
      </c>
      <c r="P21" s="2">
        <v>1.2</v>
      </c>
      <c r="Q21" s="3">
        <v>6</v>
      </c>
      <c r="R21" s="5">
        <v>0.75</v>
      </c>
      <c r="S21" s="5"/>
      <c r="T21" s="14"/>
      <c r="X21" s="14"/>
      <c r="Y21" s="15"/>
      <c r="Z21" s="16"/>
      <c r="AA21" s="16"/>
      <c r="AB21" s="17"/>
    </row>
    <row r="22" spans="1:28" ht="15.75" x14ac:dyDescent="0.25">
      <c r="A22" s="30"/>
      <c r="B22" s="31"/>
      <c r="C22" s="31"/>
      <c r="D22" s="32"/>
      <c r="F22" s="24">
        <v>1.5999999999999901</v>
      </c>
      <c r="H22" s="2">
        <v>1.3999999999999899</v>
      </c>
      <c r="I22" s="3">
        <v>3</v>
      </c>
      <c r="J22" s="5">
        <v>0.75</v>
      </c>
      <c r="K22" s="5"/>
      <c r="L22" s="2">
        <v>1.3999999999999899</v>
      </c>
      <c r="M22" s="3">
        <v>3</v>
      </c>
      <c r="N22" s="5">
        <v>0.7</v>
      </c>
      <c r="P22" s="2">
        <v>1.3999999999999899</v>
      </c>
      <c r="Q22" s="3">
        <v>3</v>
      </c>
      <c r="R22" s="5">
        <v>0.9</v>
      </c>
      <c r="S22" s="5"/>
      <c r="T22" s="14"/>
      <c r="X22" s="14"/>
      <c r="Y22" s="15"/>
      <c r="Z22" s="16"/>
      <c r="AA22" s="16"/>
      <c r="AB22" s="17"/>
    </row>
    <row r="23" spans="1:28" ht="15.75" x14ac:dyDescent="0.25">
      <c r="A23" s="19" t="s">
        <v>8</v>
      </c>
      <c r="B23" s="19">
        <f>MAX(B2:B21)</f>
        <v>4.3017949407814191</v>
      </c>
      <c r="C23" s="19">
        <f t="shared" ref="C23:D23" si="0">MAX(C2:C21)</f>
        <v>4.9196832252031788</v>
      </c>
      <c r="D23" s="19">
        <f t="shared" si="0"/>
        <v>1.4354367043314298</v>
      </c>
      <c r="F23" s="24">
        <v>1.7999999999999901</v>
      </c>
      <c r="H23" s="2">
        <v>1.5999999999999901</v>
      </c>
      <c r="I23" s="3">
        <v>1</v>
      </c>
      <c r="J23" s="5">
        <v>0.8</v>
      </c>
      <c r="K23" s="5"/>
      <c r="L23" s="2">
        <v>1.5999999999999901</v>
      </c>
      <c r="M23" s="3">
        <v>2</v>
      </c>
      <c r="N23" s="5">
        <v>0.8</v>
      </c>
      <c r="P23" s="2">
        <v>1.5999999999999901</v>
      </c>
      <c r="Q23" s="3">
        <v>2</v>
      </c>
      <c r="R23" s="5">
        <v>1</v>
      </c>
      <c r="S23" s="5"/>
      <c r="T23" s="14"/>
      <c r="X23" s="14"/>
      <c r="Y23" s="15"/>
      <c r="Z23" s="16"/>
      <c r="AA23" s="16"/>
      <c r="AB23" s="17"/>
    </row>
    <row r="24" spans="1:28" ht="15.75" x14ac:dyDescent="0.25">
      <c r="A24" s="20" t="s">
        <v>7</v>
      </c>
      <c r="B24" s="19">
        <f>MIN(B2:B21)</f>
        <v>-3.0357017426791897</v>
      </c>
      <c r="C24" s="19">
        <f t="shared" ref="C24:D24" si="1">MIN(C2:C21)</f>
        <v>-3.4305558178959528</v>
      </c>
      <c r="D24" s="19">
        <f t="shared" si="1"/>
        <v>0.46195470259013416</v>
      </c>
      <c r="F24" s="24">
        <v>1.99999999999999</v>
      </c>
      <c r="H24" s="2">
        <v>1.7999999999999901</v>
      </c>
      <c r="I24" s="3">
        <v>0</v>
      </c>
      <c r="J24" s="5">
        <v>0.8</v>
      </c>
      <c r="K24" s="5"/>
      <c r="L24" s="2">
        <v>1.7999999999999901</v>
      </c>
      <c r="M24" s="3">
        <v>3</v>
      </c>
      <c r="N24" s="5">
        <v>0.95</v>
      </c>
      <c r="P24" s="2">
        <v>1.7999999999999901</v>
      </c>
      <c r="Q24" s="3">
        <v>0</v>
      </c>
      <c r="R24" s="5">
        <v>1</v>
      </c>
      <c r="S24" s="5"/>
      <c r="T24" s="14"/>
      <c r="X24" s="14"/>
      <c r="Y24" s="15"/>
      <c r="Z24" s="16"/>
      <c r="AA24" s="16"/>
      <c r="AB24" s="17"/>
    </row>
    <row r="25" spans="1:28" ht="15.75" x14ac:dyDescent="0.25">
      <c r="F25" s="24">
        <v>2.19999999999999</v>
      </c>
      <c r="H25" s="2">
        <v>1.99999999999999</v>
      </c>
      <c r="I25" s="3">
        <v>0</v>
      </c>
      <c r="J25" s="5">
        <v>0.8</v>
      </c>
      <c r="K25" s="5"/>
      <c r="L25" s="2">
        <v>1.99999999999999</v>
      </c>
      <c r="M25" s="3">
        <v>0</v>
      </c>
      <c r="N25" s="5">
        <v>0.95</v>
      </c>
      <c r="P25" s="2">
        <v>1.99999999999999</v>
      </c>
      <c r="Q25" s="3">
        <v>0</v>
      </c>
      <c r="R25" s="5">
        <v>1</v>
      </c>
      <c r="S25" s="5"/>
      <c r="T25" s="14"/>
      <c r="X25" s="14"/>
      <c r="Y25" s="15"/>
      <c r="Z25" s="16"/>
      <c r="AA25" s="16"/>
      <c r="AB25" s="17"/>
    </row>
    <row r="26" spans="1:28" ht="15.75" x14ac:dyDescent="0.25">
      <c r="F26" s="24">
        <v>2.3999999999999901</v>
      </c>
      <c r="H26" s="2">
        <v>2.19999999999999</v>
      </c>
      <c r="I26" s="3">
        <v>1</v>
      </c>
      <c r="J26" s="5">
        <v>0.85</v>
      </c>
      <c r="K26" s="5"/>
      <c r="L26" s="2">
        <v>2.19999999999999</v>
      </c>
      <c r="M26" s="3">
        <v>0</v>
      </c>
      <c r="N26" s="5">
        <v>0.95</v>
      </c>
      <c r="P26" s="2">
        <v>2.19999999999999</v>
      </c>
      <c r="Q26" s="3">
        <v>0</v>
      </c>
      <c r="R26" s="5">
        <v>1</v>
      </c>
      <c r="S26" s="5"/>
      <c r="T26" s="14"/>
      <c r="X26" s="14"/>
      <c r="Y26" s="15"/>
      <c r="Z26" s="16"/>
      <c r="AA26" s="16"/>
      <c r="AB26" s="17"/>
    </row>
    <row r="27" spans="1:28" ht="15.75" x14ac:dyDescent="0.25">
      <c r="F27" s="24">
        <v>2.5999999999999899</v>
      </c>
      <c r="H27" s="2">
        <v>2.3999999999999901</v>
      </c>
      <c r="I27" s="3">
        <v>0</v>
      </c>
      <c r="J27" s="5">
        <v>0.85</v>
      </c>
      <c r="K27" s="5"/>
      <c r="L27" s="2">
        <v>2.3999999999999901</v>
      </c>
      <c r="M27" s="3">
        <v>0</v>
      </c>
      <c r="N27" s="5">
        <v>0.95</v>
      </c>
      <c r="P27" s="2">
        <v>2.3999999999999901</v>
      </c>
      <c r="Q27" s="3">
        <v>0</v>
      </c>
      <c r="R27" s="5">
        <v>1</v>
      </c>
      <c r="S27" s="5"/>
      <c r="T27" s="14"/>
      <c r="X27" s="14"/>
      <c r="Y27" s="15"/>
      <c r="Z27" s="16"/>
      <c r="AA27" s="16"/>
      <c r="AB27" s="17"/>
    </row>
    <row r="28" spans="1:28" ht="15.75" x14ac:dyDescent="0.25">
      <c r="F28" s="24">
        <v>2.7999999999999901</v>
      </c>
      <c r="H28" s="2">
        <v>2.5999999999999899</v>
      </c>
      <c r="I28" s="3">
        <v>0</v>
      </c>
      <c r="J28" s="5">
        <v>0.85</v>
      </c>
      <c r="K28" s="5"/>
      <c r="L28" s="2">
        <v>2.5999999999999899</v>
      </c>
      <c r="M28" s="3">
        <v>0</v>
      </c>
      <c r="N28" s="5">
        <v>0.95</v>
      </c>
      <c r="P28" s="2">
        <v>2.5999999999999899</v>
      </c>
      <c r="Q28" s="3">
        <v>0</v>
      </c>
      <c r="R28" s="5">
        <v>1</v>
      </c>
      <c r="S28" s="5"/>
      <c r="T28" s="14"/>
      <c r="X28" s="14"/>
      <c r="Y28" s="15"/>
      <c r="Z28" s="16"/>
      <c r="AA28" s="16"/>
      <c r="AB28" s="17"/>
    </row>
    <row r="29" spans="1:28" ht="15.75" x14ac:dyDescent="0.25">
      <c r="F29" s="24">
        <v>2.9999999999999898</v>
      </c>
      <c r="H29" s="2">
        <v>2.7999999999999901</v>
      </c>
      <c r="I29" s="3">
        <v>0</v>
      </c>
      <c r="J29" s="5">
        <v>0.85</v>
      </c>
      <c r="K29" s="5"/>
      <c r="L29" s="2">
        <v>2.7999999999999901</v>
      </c>
      <c r="M29" s="3">
        <v>0</v>
      </c>
      <c r="N29" s="5">
        <v>0.95</v>
      </c>
      <c r="P29" s="2">
        <v>2.7999999999999901</v>
      </c>
      <c r="Q29" s="3">
        <v>0</v>
      </c>
      <c r="R29" s="5">
        <v>1</v>
      </c>
      <c r="S29" s="5"/>
      <c r="T29" s="14"/>
      <c r="X29" s="14"/>
      <c r="Y29" s="15"/>
      <c r="Z29" s="16"/>
      <c r="AA29" s="16"/>
      <c r="AB29" s="17"/>
    </row>
    <row r="30" spans="1:28" ht="15.75" x14ac:dyDescent="0.25">
      <c r="F30" s="24">
        <v>3.19999999999999</v>
      </c>
      <c r="H30" s="2">
        <v>2.9999999999999898</v>
      </c>
      <c r="I30" s="3">
        <v>0</v>
      </c>
      <c r="J30" s="5">
        <v>0.85</v>
      </c>
      <c r="K30" s="5"/>
      <c r="L30" s="2">
        <v>2.9999999999999898</v>
      </c>
      <c r="M30" s="3">
        <v>0</v>
      </c>
      <c r="N30" s="5">
        <v>0.95</v>
      </c>
      <c r="P30" s="2">
        <v>2.9999999999999898</v>
      </c>
      <c r="Q30" s="3">
        <v>0</v>
      </c>
      <c r="R30" s="5">
        <v>1</v>
      </c>
      <c r="S30" s="5"/>
      <c r="T30" s="14"/>
      <c r="X30" s="14"/>
      <c r="Y30" s="15"/>
      <c r="Z30" s="16"/>
      <c r="AA30" s="16"/>
      <c r="AB30" s="17"/>
    </row>
    <row r="31" spans="1:28" ht="15.75" x14ac:dyDescent="0.25">
      <c r="F31" s="24">
        <v>3.3999999999999901</v>
      </c>
      <c r="H31" s="2">
        <v>3.19999999999999</v>
      </c>
      <c r="I31" s="3">
        <v>0</v>
      </c>
      <c r="J31" s="5">
        <v>0.85</v>
      </c>
      <c r="K31" s="5"/>
      <c r="L31" s="2">
        <v>3.19999999999999</v>
      </c>
      <c r="M31" s="3">
        <v>0</v>
      </c>
      <c r="N31" s="5">
        <v>0.95</v>
      </c>
      <c r="P31" s="2">
        <v>3.19999999999999</v>
      </c>
      <c r="Q31" s="3">
        <v>0</v>
      </c>
      <c r="R31" s="5">
        <v>1</v>
      </c>
      <c r="S31" s="5"/>
      <c r="T31" s="14"/>
      <c r="X31" s="14"/>
      <c r="Y31" s="15"/>
      <c r="Z31" s="16"/>
      <c r="AA31" s="16"/>
      <c r="AB31" s="17"/>
    </row>
    <row r="32" spans="1:28" ht="15.75" x14ac:dyDescent="0.25">
      <c r="F32" s="24">
        <v>3.5999999999999899</v>
      </c>
      <c r="H32" s="2">
        <v>3.3999999999999901</v>
      </c>
      <c r="I32" s="3">
        <v>0</v>
      </c>
      <c r="J32" s="5">
        <v>0.85</v>
      </c>
      <c r="K32" s="5"/>
      <c r="L32" s="2">
        <v>3.3999999999999901</v>
      </c>
      <c r="M32" s="3">
        <v>0</v>
      </c>
      <c r="N32" s="5">
        <v>0.95</v>
      </c>
      <c r="P32" s="2">
        <v>3.3999999999999901</v>
      </c>
      <c r="Q32" s="3">
        <v>0</v>
      </c>
      <c r="R32" s="5">
        <v>1</v>
      </c>
      <c r="S32" s="5"/>
      <c r="T32" s="14"/>
      <c r="X32" s="14"/>
      <c r="Y32" s="15"/>
      <c r="Z32" s="16"/>
      <c r="AA32" s="16"/>
      <c r="AB32" s="17"/>
    </row>
    <row r="33" spans="6:28" ht="15.75" x14ac:dyDescent="0.25">
      <c r="F33" s="24"/>
      <c r="H33" s="2">
        <v>3.5999999999999899</v>
      </c>
      <c r="I33" s="3">
        <v>0</v>
      </c>
      <c r="J33" s="5">
        <v>0.85</v>
      </c>
      <c r="K33" s="5"/>
      <c r="L33" s="2">
        <v>3.5999999999999899</v>
      </c>
      <c r="M33" s="3">
        <v>0</v>
      </c>
      <c r="N33" s="5">
        <v>0.95</v>
      </c>
      <c r="P33" s="2">
        <v>3.5999999999999899</v>
      </c>
      <c r="Q33" s="3">
        <v>0</v>
      </c>
      <c r="R33" s="5">
        <v>1</v>
      </c>
      <c r="S33" s="5"/>
      <c r="T33" s="14"/>
      <c r="X33" s="14"/>
      <c r="Y33" s="15"/>
      <c r="Z33" s="16"/>
      <c r="AA33" s="16"/>
      <c r="AB33" s="17"/>
    </row>
    <row r="34" spans="6:28" ht="16.5" thickBot="1" x14ac:dyDescent="0.3">
      <c r="F34" s="24"/>
      <c r="H34" s="4" t="s">
        <v>16</v>
      </c>
      <c r="I34" s="4">
        <v>3</v>
      </c>
      <c r="J34" s="6">
        <v>1</v>
      </c>
      <c r="K34" s="5"/>
      <c r="L34" s="4" t="s">
        <v>16</v>
      </c>
      <c r="M34" s="4">
        <v>1</v>
      </c>
      <c r="N34" s="6">
        <v>1</v>
      </c>
      <c r="P34" s="4" t="s">
        <v>16</v>
      </c>
      <c r="Q34" s="4">
        <v>0</v>
      </c>
      <c r="R34" s="6">
        <v>1</v>
      </c>
      <c r="S34" s="5"/>
      <c r="T34" s="14"/>
      <c r="X34" s="14"/>
      <c r="Y34" s="15"/>
      <c r="Z34" s="16"/>
      <c r="AA34" s="16"/>
      <c r="AB34" s="17"/>
    </row>
    <row r="35" spans="6:28" ht="15.75" x14ac:dyDescent="0.25">
      <c r="F35" s="24"/>
      <c r="H35" s="14"/>
      <c r="I35" s="2"/>
      <c r="J35" s="3"/>
      <c r="K35" s="5"/>
      <c r="L35" s="14"/>
      <c r="M35" s="2"/>
      <c r="N35" s="3"/>
      <c r="O35" s="5"/>
      <c r="P35" s="15"/>
      <c r="Q35" s="16"/>
      <c r="R35" s="16"/>
      <c r="S35" s="5"/>
      <c r="T35" s="14"/>
      <c r="X35" s="14"/>
      <c r="Y35" s="15"/>
      <c r="Z35" s="16"/>
      <c r="AA35" s="16"/>
      <c r="AB35" s="17"/>
    </row>
    <row r="36" spans="6:28" ht="15.75" x14ac:dyDescent="0.25">
      <c r="F36" s="24"/>
      <c r="H36" s="14"/>
      <c r="I36" s="2"/>
      <c r="J36" s="3"/>
      <c r="K36" s="5"/>
      <c r="L36" s="14"/>
      <c r="M36" s="2"/>
      <c r="N36" s="3"/>
      <c r="O36" s="5"/>
      <c r="P36" s="14"/>
      <c r="Q36" s="2"/>
      <c r="R36" s="3"/>
      <c r="S36" s="5"/>
      <c r="T36" s="14"/>
      <c r="U36" s="15"/>
      <c r="V36" s="16"/>
      <c r="W36" s="16"/>
      <c r="X36" s="14"/>
      <c r="Y36" s="15"/>
      <c r="Z36" s="16"/>
      <c r="AA36" s="16"/>
      <c r="AB36" s="17"/>
    </row>
    <row r="37" spans="6:28" ht="15.75" x14ac:dyDescent="0.25">
      <c r="F37" s="24"/>
      <c r="H37" s="14"/>
      <c r="I37" s="2"/>
      <c r="J37" s="3"/>
      <c r="K37" s="5"/>
      <c r="L37" s="14"/>
      <c r="M37" s="2"/>
      <c r="N37" s="3"/>
      <c r="O37" s="5"/>
      <c r="P37" s="14"/>
      <c r="Q37" s="2"/>
      <c r="R37" s="3"/>
      <c r="S37" s="5"/>
      <c r="T37" s="14"/>
      <c r="U37" s="15"/>
      <c r="V37" s="16"/>
      <c r="W37" s="16"/>
      <c r="X37" s="14"/>
      <c r="Y37" s="15"/>
      <c r="Z37" s="16"/>
      <c r="AA37" s="16"/>
      <c r="AB37" s="17"/>
    </row>
    <row r="38" spans="6:28" ht="15.75" x14ac:dyDescent="0.25">
      <c r="F38" s="24"/>
      <c r="H38" s="14"/>
      <c r="I38" s="2"/>
      <c r="J38" s="3"/>
      <c r="K38" s="5"/>
      <c r="L38" s="14"/>
      <c r="M38" s="2"/>
      <c r="N38" s="3"/>
      <c r="O38" s="5"/>
      <c r="P38" s="14"/>
      <c r="Q38" s="2"/>
      <c r="R38" s="3"/>
      <c r="S38" s="5"/>
      <c r="T38" s="14"/>
      <c r="U38" s="15"/>
      <c r="V38" s="16"/>
      <c r="W38" s="16"/>
      <c r="X38" s="14"/>
      <c r="Y38" s="15"/>
      <c r="Z38" s="16"/>
      <c r="AA38" s="16"/>
      <c r="AB38" s="17"/>
    </row>
    <row r="39" spans="6:28" ht="15.75" x14ac:dyDescent="0.25">
      <c r="F39" s="24"/>
      <c r="H39" s="14"/>
      <c r="I39" s="2"/>
      <c r="J39" s="3"/>
      <c r="K39" s="5"/>
      <c r="L39" s="14"/>
      <c r="M39" s="2"/>
      <c r="N39" s="3"/>
      <c r="O39" s="5"/>
      <c r="P39" s="14"/>
      <c r="Q39" s="2"/>
      <c r="R39" s="3"/>
      <c r="S39" s="5"/>
      <c r="T39" s="14"/>
      <c r="U39" s="15"/>
      <c r="V39" s="16"/>
      <c r="W39" s="16"/>
      <c r="X39" s="14"/>
      <c r="Y39" s="15"/>
      <c r="Z39" s="16"/>
      <c r="AA39" s="16"/>
      <c r="AB39" s="17"/>
    </row>
    <row r="40" spans="6:28" ht="15.75" x14ac:dyDescent="0.25">
      <c r="F40" s="24"/>
      <c r="H40" s="14"/>
      <c r="I40" s="2"/>
      <c r="J40" s="3"/>
      <c r="K40" s="5"/>
      <c r="L40" s="14"/>
      <c r="M40" s="2"/>
      <c r="N40" s="3"/>
      <c r="O40" s="5"/>
      <c r="P40" s="14"/>
      <c r="Q40" s="2"/>
      <c r="R40" s="3"/>
      <c r="S40" s="5"/>
      <c r="T40" s="14"/>
      <c r="U40" s="15"/>
      <c r="V40" s="16"/>
      <c r="W40" s="16"/>
      <c r="X40" s="14"/>
      <c r="Y40" s="15"/>
      <c r="Z40" s="16"/>
      <c r="AA40" s="16"/>
      <c r="AB40" s="17"/>
    </row>
    <row r="41" spans="6:28" ht="15.75" x14ac:dyDescent="0.25">
      <c r="F41" s="24"/>
      <c r="H41" s="14"/>
      <c r="I41" s="2"/>
      <c r="J41" s="3"/>
      <c r="K41" s="5"/>
      <c r="L41" s="14"/>
      <c r="M41" s="2"/>
      <c r="N41" s="3"/>
      <c r="O41" s="5"/>
      <c r="P41" s="14"/>
      <c r="Q41" s="2"/>
      <c r="R41" s="3"/>
      <c r="S41" s="5"/>
      <c r="T41" s="14"/>
      <c r="U41" s="15"/>
      <c r="V41" s="16"/>
      <c r="W41" s="16"/>
      <c r="X41" s="14"/>
      <c r="Y41" s="15"/>
      <c r="Z41" s="16"/>
      <c r="AA41" s="16"/>
      <c r="AB41" s="17"/>
    </row>
    <row r="42" spans="6:28" ht="15.75" x14ac:dyDescent="0.25">
      <c r="F42" s="24"/>
      <c r="H42" s="14"/>
      <c r="I42" s="2"/>
      <c r="J42" s="3"/>
      <c r="K42" s="5"/>
      <c r="L42" s="14"/>
      <c r="M42" s="2"/>
      <c r="N42" s="3"/>
      <c r="O42" s="5"/>
      <c r="P42" s="14"/>
      <c r="Q42" s="2"/>
      <c r="R42" s="3"/>
      <c r="S42" s="5"/>
      <c r="T42" s="14"/>
      <c r="U42" s="15"/>
      <c r="V42" s="16"/>
      <c r="W42" s="16"/>
      <c r="X42" s="14"/>
      <c r="Y42" s="15"/>
      <c r="Z42" s="16"/>
      <c r="AA42" s="16"/>
      <c r="AB42" s="17"/>
    </row>
    <row r="43" spans="6:28" ht="15.75" x14ac:dyDescent="0.25">
      <c r="F43" s="24"/>
      <c r="H43" s="14"/>
      <c r="I43" s="2"/>
      <c r="J43" s="3"/>
      <c r="K43" s="5"/>
      <c r="L43" s="14"/>
      <c r="M43" s="2"/>
      <c r="N43" s="3"/>
      <c r="O43" s="5"/>
      <c r="P43" s="14"/>
      <c r="Q43" s="2"/>
      <c r="R43" s="3"/>
      <c r="S43" s="5"/>
      <c r="T43" s="14"/>
      <c r="U43" s="15"/>
      <c r="V43" s="16"/>
      <c r="W43" s="16"/>
      <c r="X43" s="14"/>
      <c r="Y43" s="15"/>
      <c r="Z43" s="16"/>
      <c r="AA43" s="16"/>
      <c r="AB43" s="17"/>
    </row>
    <row r="44" spans="6:28" ht="15.75" x14ac:dyDescent="0.25">
      <c r="F44" s="24"/>
      <c r="H44" s="14"/>
      <c r="I44" s="2"/>
      <c r="J44" s="3"/>
      <c r="K44" s="5"/>
      <c r="L44" s="14"/>
      <c r="M44" s="2"/>
      <c r="N44" s="3"/>
      <c r="O44" s="5"/>
      <c r="P44" s="14"/>
      <c r="Q44" s="2"/>
      <c r="R44" s="3"/>
      <c r="S44" s="5"/>
      <c r="T44" s="14"/>
      <c r="U44" s="15"/>
      <c r="V44" s="16"/>
      <c r="W44" s="16"/>
      <c r="X44" s="14"/>
      <c r="Y44" s="15"/>
      <c r="Z44" s="16"/>
      <c r="AA44" s="16"/>
      <c r="AB44" s="17"/>
    </row>
    <row r="45" spans="6:28" ht="15.75" x14ac:dyDescent="0.25">
      <c r="F45" s="24"/>
      <c r="H45" s="14"/>
      <c r="I45" s="2"/>
      <c r="J45" s="3"/>
      <c r="K45" s="5"/>
      <c r="L45" s="14"/>
      <c r="M45" s="2"/>
      <c r="N45" s="3"/>
      <c r="O45" s="5"/>
      <c r="P45" s="14"/>
      <c r="Q45" s="2"/>
      <c r="R45" s="3"/>
      <c r="S45" s="5"/>
      <c r="T45" s="14"/>
      <c r="U45" s="15"/>
      <c r="V45" s="16"/>
      <c r="W45" s="16"/>
      <c r="X45" s="14"/>
      <c r="Y45" s="15"/>
      <c r="Z45" s="16"/>
      <c r="AA45" s="16"/>
      <c r="AB45" s="17"/>
    </row>
    <row r="46" spans="6:28" ht="15.75" x14ac:dyDescent="0.25">
      <c r="F46" s="24"/>
      <c r="H46" s="14"/>
      <c r="I46" s="2"/>
      <c r="J46" s="3"/>
      <c r="K46" s="5"/>
      <c r="L46" s="14"/>
      <c r="M46" s="2"/>
      <c r="N46" s="3"/>
      <c r="O46" s="5"/>
      <c r="P46" s="14"/>
      <c r="Q46" s="2"/>
      <c r="R46" s="3"/>
      <c r="S46" s="5"/>
      <c r="T46" s="14"/>
      <c r="U46" s="15"/>
      <c r="V46" s="16"/>
      <c r="W46" s="16"/>
      <c r="X46" s="14"/>
      <c r="Y46" s="15"/>
      <c r="Z46" s="16"/>
      <c r="AA46" s="16"/>
      <c r="AB46" s="17"/>
    </row>
    <row r="47" spans="6:28" ht="15.75" x14ac:dyDescent="0.25">
      <c r="F47" s="24"/>
      <c r="H47" s="14"/>
      <c r="I47" s="2"/>
      <c r="J47" s="3"/>
      <c r="K47" s="5"/>
      <c r="L47" s="14"/>
      <c r="M47" s="2"/>
      <c r="N47" s="3"/>
      <c r="O47" s="5"/>
      <c r="P47" s="14"/>
      <c r="Q47" s="2"/>
      <c r="R47" s="3"/>
      <c r="S47" s="5"/>
      <c r="T47" s="14"/>
      <c r="U47" s="15"/>
      <c r="V47" s="16"/>
      <c r="W47" s="16"/>
      <c r="X47" s="14"/>
      <c r="Y47" s="15"/>
      <c r="Z47" s="16"/>
      <c r="AA47" s="16"/>
      <c r="AB47" s="17"/>
    </row>
    <row r="48" spans="6:28" ht="15.75" x14ac:dyDescent="0.25">
      <c r="F48" s="24"/>
      <c r="H48" s="14"/>
      <c r="I48" s="2"/>
      <c r="J48" s="3"/>
      <c r="K48" s="5"/>
      <c r="L48" s="14"/>
      <c r="M48" s="2"/>
      <c r="N48" s="3"/>
      <c r="O48" s="5"/>
      <c r="P48" s="14"/>
      <c r="Q48" s="2"/>
      <c r="R48" s="3"/>
      <c r="S48" s="5"/>
      <c r="T48" s="14"/>
      <c r="U48" s="15"/>
      <c r="V48" s="16"/>
      <c r="W48" s="16"/>
      <c r="X48" s="14"/>
      <c r="Y48" s="15"/>
      <c r="Z48" s="16"/>
      <c r="AA48" s="16"/>
      <c r="AB48" s="17"/>
    </row>
    <row r="49" spans="6:28" ht="15.75" x14ac:dyDescent="0.25">
      <c r="F49" s="24"/>
      <c r="H49" s="14"/>
      <c r="I49" s="2"/>
      <c r="J49" s="3"/>
      <c r="K49" s="5"/>
      <c r="L49" s="14"/>
      <c r="M49" s="2"/>
      <c r="N49" s="3"/>
      <c r="O49" s="5"/>
      <c r="P49" s="14"/>
      <c r="Q49" s="2"/>
      <c r="R49" s="3"/>
      <c r="S49" s="5"/>
      <c r="T49" s="14"/>
      <c r="U49" s="15"/>
      <c r="V49" s="16"/>
      <c r="W49" s="16"/>
      <c r="X49" s="14"/>
      <c r="Y49" s="15"/>
      <c r="Z49" s="16"/>
      <c r="AA49" s="16"/>
      <c r="AB49" s="17"/>
    </row>
    <row r="50" spans="6:28" ht="15.75" x14ac:dyDescent="0.25">
      <c r="F50" s="24"/>
      <c r="H50" s="14"/>
      <c r="I50" s="2"/>
      <c r="J50" s="3"/>
      <c r="K50" s="5"/>
      <c r="L50" s="14"/>
      <c r="M50" s="2"/>
      <c r="N50" s="3"/>
      <c r="O50" s="5"/>
      <c r="P50" s="14"/>
      <c r="Q50" s="2"/>
      <c r="R50" s="3"/>
      <c r="S50" s="5"/>
      <c r="T50" s="14"/>
      <c r="U50" s="15"/>
      <c r="V50" s="16"/>
      <c r="W50" s="16"/>
      <c r="X50" s="14"/>
      <c r="Y50" s="15"/>
      <c r="Z50" s="16"/>
      <c r="AA50" s="16"/>
      <c r="AB50" s="17"/>
    </row>
    <row r="51" spans="6:28" ht="15.75" x14ac:dyDescent="0.25">
      <c r="F51" s="24"/>
      <c r="H51" s="14"/>
      <c r="I51" s="2"/>
      <c r="J51" s="3"/>
      <c r="K51" s="5"/>
      <c r="L51" s="14"/>
      <c r="M51" s="2"/>
      <c r="N51" s="3"/>
      <c r="O51" s="5"/>
      <c r="P51" s="14"/>
      <c r="Q51" s="2"/>
      <c r="R51" s="3"/>
      <c r="S51" s="5"/>
      <c r="T51" s="14"/>
      <c r="U51" s="15"/>
      <c r="V51" s="16"/>
      <c r="W51" s="16"/>
      <c r="X51" s="14"/>
      <c r="Y51" s="15"/>
      <c r="Z51" s="16"/>
      <c r="AA51" s="16"/>
      <c r="AB51" s="17"/>
    </row>
    <row r="52" spans="6:28" ht="15.75" x14ac:dyDescent="0.25">
      <c r="F52" s="24"/>
      <c r="H52" s="14"/>
      <c r="I52" s="2"/>
      <c r="J52" s="3"/>
      <c r="K52" s="5"/>
      <c r="L52" s="14"/>
      <c r="M52" s="2"/>
      <c r="N52" s="3"/>
      <c r="O52" s="5"/>
      <c r="P52" s="14"/>
      <c r="Q52" s="2"/>
      <c r="R52" s="3"/>
      <c r="S52" s="5"/>
      <c r="T52" s="14"/>
      <c r="U52" s="15"/>
      <c r="V52" s="16"/>
      <c r="W52" s="16"/>
      <c r="X52" s="14"/>
      <c r="Y52" s="15"/>
      <c r="Z52" s="16"/>
      <c r="AA52" s="16"/>
      <c r="AB52" s="17"/>
    </row>
    <row r="53" spans="6:28" ht="15.75" x14ac:dyDescent="0.25">
      <c r="F53" s="24"/>
      <c r="H53" s="14"/>
      <c r="I53" s="2"/>
      <c r="J53" s="3"/>
      <c r="K53" s="5"/>
      <c r="L53" s="14"/>
      <c r="M53" s="2"/>
      <c r="N53" s="3"/>
      <c r="O53" s="5"/>
      <c r="P53" s="14"/>
      <c r="Q53" s="2"/>
      <c r="R53" s="3"/>
      <c r="S53" s="5"/>
      <c r="T53" s="14"/>
      <c r="U53" s="15"/>
      <c r="V53" s="16"/>
      <c r="W53" s="16"/>
      <c r="X53" s="14"/>
      <c r="Y53" s="15"/>
      <c r="Z53" s="16"/>
      <c r="AA53" s="16"/>
      <c r="AB53" s="17"/>
    </row>
    <row r="54" spans="6:28" ht="15.75" x14ac:dyDescent="0.25">
      <c r="F54" s="24"/>
      <c r="H54" s="14"/>
      <c r="I54" s="2"/>
      <c r="J54" s="3"/>
      <c r="K54" s="5"/>
      <c r="L54" s="14"/>
      <c r="M54" s="2"/>
      <c r="N54" s="3"/>
      <c r="O54" s="5"/>
      <c r="P54" s="14"/>
      <c r="Q54" s="2"/>
      <c r="R54" s="3"/>
      <c r="S54" s="5"/>
      <c r="T54" s="14"/>
      <c r="U54" s="15"/>
      <c r="V54" s="16"/>
      <c r="W54" s="16"/>
      <c r="X54" s="14"/>
      <c r="Y54" s="15"/>
      <c r="Z54" s="16"/>
      <c r="AA54" s="16"/>
      <c r="AB54" s="17"/>
    </row>
    <row r="55" spans="6:28" ht="15.75" x14ac:dyDescent="0.25">
      <c r="F55" s="24"/>
      <c r="H55" s="14"/>
      <c r="I55" s="2"/>
      <c r="J55" s="3"/>
      <c r="K55" s="5"/>
      <c r="L55" s="14"/>
      <c r="M55" s="2"/>
      <c r="N55" s="3"/>
      <c r="O55" s="5"/>
      <c r="P55" s="14"/>
      <c r="Q55" s="2"/>
      <c r="R55" s="3"/>
      <c r="S55" s="5"/>
      <c r="T55" s="14"/>
      <c r="U55" s="15"/>
      <c r="V55" s="16"/>
      <c r="W55" s="16"/>
      <c r="X55" s="14"/>
      <c r="Y55" s="15"/>
      <c r="Z55" s="16"/>
      <c r="AA55" s="16"/>
      <c r="AB55" s="17"/>
    </row>
    <row r="56" spans="6:28" ht="15.75" x14ac:dyDescent="0.25">
      <c r="F56" s="24"/>
      <c r="H56" s="14"/>
      <c r="I56" s="2"/>
      <c r="J56" s="3"/>
      <c r="K56" s="5"/>
      <c r="L56" s="14"/>
      <c r="M56" s="2"/>
      <c r="N56" s="3"/>
      <c r="O56" s="5"/>
      <c r="P56" s="14"/>
      <c r="Q56" s="2"/>
      <c r="R56" s="3"/>
      <c r="S56" s="5"/>
      <c r="T56" s="14"/>
      <c r="U56" s="15"/>
      <c r="V56" s="16"/>
      <c r="W56" s="16"/>
      <c r="X56" s="14"/>
      <c r="Y56" s="15"/>
      <c r="Z56" s="16"/>
      <c r="AA56" s="16"/>
      <c r="AB56" s="17"/>
    </row>
    <row r="57" spans="6:28" x14ac:dyDescent="0.25">
      <c r="H57" s="14"/>
      <c r="I57" s="2"/>
      <c r="J57" s="3"/>
      <c r="K57" s="5"/>
      <c r="L57" s="14"/>
      <c r="M57" s="2"/>
      <c r="N57" s="3"/>
      <c r="O57" s="5"/>
      <c r="P57" s="14"/>
      <c r="Q57" s="2"/>
      <c r="R57" s="3"/>
      <c r="S57" s="5"/>
      <c r="T57" s="14"/>
      <c r="U57" s="15"/>
      <c r="V57" s="16"/>
      <c r="W57" s="16"/>
      <c r="X57" s="14"/>
      <c r="Y57" s="15"/>
      <c r="Z57" s="16"/>
      <c r="AA57" s="16"/>
      <c r="AB57" s="17"/>
    </row>
    <row r="58" spans="6:28" x14ac:dyDescent="0.25">
      <c r="H58" s="14"/>
      <c r="I58" s="3"/>
      <c r="J58" s="3"/>
      <c r="K58" s="5"/>
      <c r="L58" s="14"/>
      <c r="M58" s="3"/>
      <c r="N58" s="3"/>
      <c r="O58" s="5"/>
      <c r="P58" s="14"/>
      <c r="Q58" s="3"/>
      <c r="R58" s="3"/>
      <c r="S58" s="5"/>
      <c r="T58" s="14"/>
      <c r="U58" s="15"/>
      <c r="V58" s="16"/>
      <c r="W58" s="16"/>
      <c r="X58" s="14"/>
      <c r="Y58" s="15"/>
      <c r="Z58" s="16"/>
      <c r="AA58" s="16"/>
      <c r="AB58" s="17"/>
    </row>
    <row r="59" spans="6:28" x14ac:dyDescent="0.25">
      <c r="H59" s="14"/>
      <c r="I59" s="14"/>
      <c r="J59" s="15"/>
      <c r="K59" s="16"/>
      <c r="L59" s="14"/>
      <c r="M59" s="14"/>
      <c r="N59" s="14"/>
      <c r="O59" s="14"/>
      <c r="P59" s="14"/>
      <c r="Q59" s="14"/>
      <c r="R59" s="14"/>
      <c r="S59" s="14"/>
      <c r="T59" s="14"/>
      <c r="U59" s="15"/>
      <c r="V59" s="16"/>
      <c r="W59" s="16"/>
      <c r="X59" s="14"/>
      <c r="Y59" s="15"/>
      <c r="Z59" s="16"/>
      <c r="AA59" s="16"/>
      <c r="AB59" s="17"/>
    </row>
    <row r="60" spans="6:28" x14ac:dyDescent="0.25">
      <c r="H60" s="14"/>
      <c r="I60" s="14"/>
      <c r="J60" s="15"/>
      <c r="K60" s="16"/>
      <c r="L60" s="14"/>
      <c r="M60" s="14"/>
      <c r="N60" s="14"/>
      <c r="O60" s="14"/>
      <c r="P60" s="14"/>
      <c r="Q60" s="14"/>
      <c r="R60" s="14"/>
      <c r="S60" s="14"/>
      <c r="T60" s="14"/>
      <c r="U60" s="15"/>
      <c r="V60" s="16"/>
      <c r="W60" s="16"/>
      <c r="X60" s="14"/>
      <c r="Y60" s="15"/>
      <c r="Z60" s="16"/>
      <c r="AA60" s="16"/>
      <c r="AB60" s="17"/>
    </row>
    <row r="61" spans="6:28" x14ac:dyDescent="0.25">
      <c r="H61" s="14"/>
      <c r="I61" s="14"/>
      <c r="J61" s="15"/>
      <c r="K61" s="16"/>
      <c r="L61" s="14"/>
      <c r="M61" s="14"/>
      <c r="N61" s="14"/>
      <c r="O61" s="14"/>
      <c r="P61" s="14"/>
      <c r="Q61" s="14"/>
      <c r="R61" s="14"/>
      <c r="S61" s="14"/>
      <c r="T61" s="14"/>
      <c r="U61" s="15"/>
      <c r="V61" s="16"/>
      <c r="W61" s="16"/>
      <c r="X61" s="14"/>
      <c r="Y61" s="15"/>
      <c r="Z61" s="16"/>
      <c r="AA61" s="16"/>
      <c r="AB61" s="17"/>
    </row>
    <row r="62" spans="6:28" x14ac:dyDescent="0.25">
      <c r="H62" s="14"/>
      <c r="I62" s="14"/>
      <c r="J62" s="15"/>
      <c r="K62" s="16"/>
      <c r="L62" s="14"/>
      <c r="M62" s="14"/>
      <c r="N62" s="14"/>
      <c r="O62" s="14"/>
      <c r="P62" s="14"/>
      <c r="Q62" s="14"/>
      <c r="R62" s="14"/>
      <c r="S62" s="14"/>
      <c r="T62" s="14"/>
      <c r="U62" s="15"/>
      <c r="V62" s="16"/>
      <c r="W62" s="16"/>
      <c r="X62" s="14"/>
      <c r="Y62" s="15"/>
      <c r="Z62" s="16"/>
      <c r="AA62" s="16"/>
      <c r="AB62" s="17"/>
    </row>
    <row r="63" spans="6:28" x14ac:dyDescent="0.25">
      <c r="H63" s="14"/>
      <c r="I63" s="14"/>
      <c r="J63" s="15"/>
      <c r="K63" s="16"/>
      <c r="L63" s="14"/>
      <c r="M63" s="14"/>
      <c r="N63" s="14"/>
      <c r="O63" s="14"/>
      <c r="P63" s="14"/>
      <c r="Q63" s="14"/>
      <c r="R63" s="14"/>
      <c r="S63" s="14"/>
      <c r="T63" s="14"/>
      <c r="U63" s="15"/>
      <c r="V63" s="16"/>
      <c r="W63" s="16"/>
      <c r="X63" s="14"/>
      <c r="Y63" s="15"/>
      <c r="Z63" s="16"/>
      <c r="AA63" s="16"/>
      <c r="AB63" s="17"/>
    </row>
    <row r="64" spans="6:28" x14ac:dyDescent="0.25">
      <c r="H64" s="14"/>
      <c r="I64" s="14"/>
      <c r="J64" s="15"/>
      <c r="K64" s="16"/>
      <c r="L64" s="14"/>
      <c r="M64" s="14"/>
      <c r="N64" s="14"/>
      <c r="O64" s="14"/>
      <c r="P64" s="14"/>
      <c r="Q64" s="14"/>
      <c r="R64" s="14"/>
      <c r="S64" s="14"/>
      <c r="T64" s="14"/>
      <c r="U64" s="15"/>
      <c r="V64" s="16"/>
      <c r="W64" s="16"/>
      <c r="X64" s="14"/>
      <c r="Y64" s="15"/>
      <c r="Z64" s="16"/>
      <c r="AA64" s="16"/>
      <c r="AB64" s="17"/>
    </row>
    <row r="65" spans="8:28" x14ac:dyDescent="0.25">
      <c r="H65" s="14"/>
      <c r="I65" s="14"/>
      <c r="J65" s="15"/>
      <c r="K65" s="16"/>
      <c r="L65" s="14"/>
      <c r="M65" s="14"/>
      <c r="N65" s="14"/>
      <c r="O65" s="14"/>
      <c r="P65" s="14"/>
      <c r="Q65" s="14"/>
      <c r="R65" s="14"/>
      <c r="S65" s="14"/>
      <c r="T65" s="14"/>
      <c r="U65" s="15"/>
      <c r="V65" s="16"/>
      <c r="W65" s="16"/>
      <c r="X65" s="14"/>
      <c r="Y65" s="15"/>
      <c r="Z65" s="16"/>
      <c r="AA65" s="16"/>
      <c r="AB65" s="17"/>
    </row>
    <row r="66" spans="8:28" x14ac:dyDescent="0.25">
      <c r="H66" s="14"/>
      <c r="I66" s="14"/>
      <c r="J66" s="15"/>
      <c r="K66" s="16"/>
      <c r="L66" s="14"/>
      <c r="M66" s="14"/>
      <c r="N66" s="14"/>
      <c r="O66" s="14"/>
      <c r="P66" s="14"/>
      <c r="Q66" s="14"/>
      <c r="R66" s="14"/>
      <c r="S66" s="14"/>
      <c r="T66" s="14"/>
      <c r="U66" s="15"/>
      <c r="V66" s="16"/>
      <c r="W66" s="16"/>
      <c r="X66" s="14"/>
      <c r="Y66" s="15"/>
      <c r="Z66" s="16"/>
      <c r="AA66" s="16"/>
      <c r="AB66" s="17"/>
    </row>
    <row r="67" spans="8:28" x14ac:dyDescent="0.25">
      <c r="H67" s="14"/>
      <c r="I67" s="14"/>
      <c r="J67" s="15"/>
      <c r="K67" s="16"/>
      <c r="L67" s="14"/>
      <c r="M67" s="14"/>
      <c r="N67" s="14"/>
      <c r="O67" s="14"/>
      <c r="P67" s="14"/>
      <c r="Q67" s="14"/>
      <c r="R67" s="14"/>
      <c r="S67" s="14"/>
      <c r="T67" s="14"/>
      <c r="U67" s="15"/>
      <c r="V67" s="16"/>
      <c r="W67" s="16"/>
      <c r="X67" s="14"/>
      <c r="Y67" s="15"/>
      <c r="Z67" s="16"/>
      <c r="AA67" s="16"/>
      <c r="AB67" s="17"/>
    </row>
    <row r="68" spans="8:28" x14ac:dyDescent="0.25">
      <c r="H68" s="14"/>
      <c r="I68" s="14"/>
      <c r="J68" s="15"/>
      <c r="K68" s="16"/>
      <c r="L68" s="14"/>
      <c r="M68" s="14"/>
      <c r="N68" s="14"/>
      <c r="O68" s="14"/>
      <c r="P68" s="14"/>
      <c r="Q68" s="14"/>
      <c r="R68" s="14"/>
      <c r="S68" s="14"/>
      <c r="T68" s="14"/>
      <c r="U68" s="15"/>
      <c r="V68" s="16"/>
      <c r="W68" s="16"/>
      <c r="X68" s="14"/>
      <c r="Y68" s="15"/>
      <c r="Z68" s="16"/>
      <c r="AA68" s="16"/>
      <c r="AB68" s="17"/>
    </row>
    <row r="69" spans="8:28" x14ac:dyDescent="0.25">
      <c r="H69" s="14"/>
      <c r="I69" s="14"/>
      <c r="J69" s="15"/>
      <c r="K69" s="16"/>
      <c r="L69" s="14"/>
      <c r="M69" s="14"/>
      <c r="N69" s="14"/>
      <c r="O69" s="14"/>
      <c r="P69" s="14"/>
      <c r="Q69" s="14"/>
      <c r="R69" s="14"/>
      <c r="S69" s="14"/>
      <c r="T69" s="14"/>
      <c r="U69" s="15"/>
      <c r="V69" s="16"/>
      <c r="W69" s="16"/>
      <c r="X69" s="14"/>
      <c r="Y69" s="15"/>
      <c r="Z69" s="16"/>
      <c r="AA69" s="16"/>
      <c r="AB69" s="17"/>
    </row>
    <row r="70" spans="8:28" x14ac:dyDescent="0.25">
      <c r="H70" s="14"/>
      <c r="I70" s="14"/>
      <c r="J70" s="15"/>
      <c r="K70" s="16"/>
      <c r="L70" s="14"/>
      <c r="M70" s="14"/>
      <c r="N70" s="14"/>
      <c r="O70" s="14"/>
      <c r="P70" s="14"/>
      <c r="Q70" s="14"/>
      <c r="R70" s="14"/>
      <c r="S70" s="14"/>
      <c r="T70" s="14"/>
      <c r="U70" s="15"/>
      <c r="V70" s="16"/>
      <c r="W70" s="16"/>
      <c r="X70" s="14"/>
      <c r="Y70" s="15"/>
      <c r="Z70" s="16"/>
      <c r="AA70" s="16"/>
      <c r="AB70" s="17"/>
    </row>
    <row r="71" spans="8:28" x14ac:dyDescent="0.25">
      <c r="H71" s="14"/>
      <c r="I71" s="14"/>
      <c r="J71" s="15"/>
      <c r="K71" s="16"/>
      <c r="L71" s="14"/>
      <c r="M71" s="14"/>
      <c r="N71" s="14"/>
      <c r="O71" s="14"/>
      <c r="P71" s="14"/>
      <c r="Q71" s="14"/>
      <c r="R71" s="14"/>
      <c r="S71" s="14"/>
      <c r="T71" s="14"/>
      <c r="U71" s="15"/>
      <c r="V71" s="16"/>
      <c r="W71" s="16"/>
      <c r="X71" s="14"/>
      <c r="Y71" s="15"/>
      <c r="Z71" s="16"/>
      <c r="AA71" s="16"/>
      <c r="AB71" s="17"/>
    </row>
    <row r="72" spans="8:28" x14ac:dyDescent="0.25">
      <c r="H72" s="14"/>
      <c r="I72" s="14"/>
      <c r="J72" s="15"/>
      <c r="K72" s="16"/>
      <c r="L72" s="14"/>
      <c r="M72" s="14"/>
      <c r="N72" s="14"/>
      <c r="O72" s="14"/>
      <c r="P72" s="14"/>
      <c r="Q72" s="14"/>
      <c r="R72" s="14"/>
      <c r="S72" s="14"/>
      <c r="T72" s="14"/>
      <c r="U72" s="15"/>
      <c r="V72" s="16"/>
      <c r="W72" s="16"/>
      <c r="X72" s="14"/>
      <c r="Y72" s="15"/>
      <c r="Z72" s="16"/>
      <c r="AA72" s="16"/>
      <c r="AB72" s="17"/>
    </row>
    <row r="73" spans="8:28" x14ac:dyDescent="0.25">
      <c r="H73" s="14"/>
      <c r="I73" s="14"/>
      <c r="J73" s="15"/>
      <c r="K73" s="16"/>
      <c r="L73" s="14"/>
      <c r="M73" s="14"/>
      <c r="N73" s="14"/>
      <c r="O73" s="14"/>
      <c r="P73" s="14"/>
      <c r="Q73" s="14"/>
      <c r="R73" s="14"/>
      <c r="S73" s="14"/>
      <c r="T73" s="14"/>
      <c r="U73" s="15"/>
      <c r="V73" s="16"/>
      <c r="W73" s="16"/>
      <c r="X73" s="14"/>
      <c r="Y73" s="15"/>
      <c r="Z73" s="16"/>
      <c r="AA73" s="16"/>
      <c r="AB73" s="17"/>
    </row>
    <row r="74" spans="8:28" x14ac:dyDescent="0.25">
      <c r="H74" s="15"/>
      <c r="I74" s="15"/>
      <c r="J74" s="15"/>
      <c r="K74" s="16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6"/>
      <c r="W74" s="16"/>
      <c r="X74" s="15"/>
      <c r="Y74" s="15"/>
      <c r="Z74" s="16"/>
      <c r="AA74" s="16"/>
      <c r="AB74" s="17"/>
    </row>
    <row r="75" spans="8:28" x14ac:dyDescent="0.25">
      <c r="H75" s="14"/>
      <c r="I75" s="15"/>
      <c r="J75" s="16"/>
      <c r="K75" s="16"/>
      <c r="L75" s="17"/>
      <c r="M75" s="17"/>
      <c r="N75" s="17"/>
      <c r="O75" s="17"/>
      <c r="P75" s="17"/>
      <c r="Q75" s="17"/>
      <c r="R75" s="17"/>
      <c r="S75" s="17"/>
      <c r="T75" s="14"/>
      <c r="U75" s="15"/>
      <c r="V75" s="16"/>
      <c r="W75" s="17"/>
      <c r="X75" s="14"/>
      <c r="Y75" s="15"/>
      <c r="Z75" s="16"/>
      <c r="AA75" s="17"/>
      <c r="AB75" s="17"/>
    </row>
    <row r="76" spans="8:28" x14ac:dyDescent="0.25">
      <c r="H76" s="14"/>
      <c r="I76" s="15"/>
      <c r="J76" s="16"/>
      <c r="K76" s="16"/>
      <c r="L76" s="17"/>
      <c r="M76" s="17"/>
      <c r="N76" s="17"/>
      <c r="O76" s="17"/>
      <c r="P76" s="17"/>
      <c r="Q76" s="17"/>
      <c r="R76" s="17"/>
      <c r="S76" s="17"/>
      <c r="T76" s="14"/>
      <c r="U76" s="15"/>
      <c r="V76" s="16"/>
      <c r="W76" s="17"/>
      <c r="X76" s="14"/>
      <c r="Y76" s="15"/>
      <c r="Z76" s="16"/>
      <c r="AA76" s="17"/>
      <c r="AB76" s="17"/>
    </row>
    <row r="77" spans="8:28" x14ac:dyDescent="0.25">
      <c r="H77" s="14"/>
      <c r="I77" s="15"/>
      <c r="J77" s="16"/>
      <c r="K77" s="16"/>
      <c r="L77" s="17"/>
      <c r="M77" s="17"/>
      <c r="N77" s="17"/>
      <c r="O77" s="17"/>
      <c r="P77" s="17"/>
      <c r="Q77" s="17"/>
      <c r="R77" s="17"/>
      <c r="S77" s="17"/>
      <c r="T77" s="14"/>
      <c r="U77" s="15"/>
      <c r="V77" s="16"/>
      <c r="W77" s="17"/>
      <c r="X77" s="14"/>
      <c r="Y77" s="15"/>
      <c r="Z77" s="16"/>
      <c r="AA77" s="17"/>
      <c r="AB77" s="17"/>
    </row>
    <row r="78" spans="8:28" x14ac:dyDescent="0.25">
      <c r="H78" s="14"/>
      <c r="I78" s="15"/>
      <c r="J78" s="16"/>
      <c r="K78" s="16"/>
      <c r="L78" s="17"/>
      <c r="M78" s="17"/>
      <c r="N78" s="17"/>
      <c r="O78" s="17"/>
      <c r="P78" s="17"/>
      <c r="Q78" s="17"/>
      <c r="R78" s="17"/>
      <c r="S78" s="17"/>
      <c r="T78" s="14"/>
      <c r="U78" s="15"/>
      <c r="V78" s="16"/>
      <c r="W78" s="17"/>
      <c r="X78" s="14"/>
      <c r="Y78" s="15"/>
      <c r="Z78" s="16"/>
      <c r="AA78" s="17"/>
      <c r="AB78" s="17"/>
    </row>
    <row r="79" spans="8:28" x14ac:dyDescent="0.25">
      <c r="H79" s="14"/>
      <c r="I79" s="15"/>
      <c r="J79" s="16"/>
      <c r="K79" s="16"/>
      <c r="L79" s="17"/>
      <c r="M79" s="17"/>
      <c r="N79" s="17"/>
      <c r="O79" s="17"/>
      <c r="P79" s="17"/>
      <c r="Q79" s="17"/>
      <c r="R79" s="17"/>
      <c r="S79" s="17"/>
      <c r="T79" s="14"/>
      <c r="U79" s="15"/>
      <c r="V79" s="16"/>
      <c r="W79" s="17"/>
      <c r="X79" s="14"/>
      <c r="Y79" s="15"/>
      <c r="Z79" s="16"/>
      <c r="AA79" s="17"/>
      <c r="AB79" s="17"/>
    </row>
    <row r="80" spans="8:28" x14ac:dyDescent="0.25">
      <c r="H80" s="14"/>
      <c r="I80" s="15"/>
      <c r="J80" s="16"/>
      <c r="K80" s="16"/>
      <c r="L80" s="17"/>
      <c r="M80" s="17"/>
      <c r="N80" s="17"/>
      <c r="O80" s="17"/>
      <c r="P80" s="17"/>
      <c r="Q80" s="17"/>
      <c r="R80" s="17"/>
      <c r="S80" s="17"/>
      <c r="T80" s="14"/>
      <c r="U80" s="15"/>
      <c r="V80" s="16"/>
      <c r="W80" s="17"/>
      <c r="X80" s="14"/>
      <c r="Y80" s="15"/>
      <c r="Z80" s="16"/>
      <c r="AA80" s="17"/>
      <c r="AB80" s="17"/>
    </row>
    <row r="81" spans="8:28" x14ac:dyDescent="0.25">
      <c r="H81" s="14"/>
      <c r="I81" s="15"/>
      <c r="J81" s="16"/>
      <c r="K81" s="16"/>
      <c r="L81" s="17"/>
      <c r="M81" s="17"/>
      <c r="N81" s="17"/>
      <c r="O81" s="17"/>
      <c r="P81" s="17"/>
      <c r="Q81" s="17"/>
      <c r="R81" s="17"/>
      <c r="S81" s="17"/>
      <c r="T81" s="14"/>
      <c r="U81" s="15"/>
      <c r="V81" s="16"/>
      <c r="W81" s="17"/>
      <c r="X81" s="14"/>
      <c r="Y81" s="15"/>
      <c r="Z81" s="16"/>
      <c r="AA81" s="17"/>
      <c r="AB81" s="17"/>
    </row>
    <row r="82" spans="8:28" x14ac:dyDescent="0.25">
      <c r="H82" s="14"/>
      <c r="I82" s="15"/>
      <c r="J82" s="16"/>
      <c r="K82" s="16"/>
      <c r="L82" s="17"/>
      <c r="M82" s="17"/>
      <c r="N82" s="17"/>
      <c r="O82" s="17"/>
      <c r="P82" s="17"/>
      <c r="Q82" s="17"/>
      <c r="R82" s="17"/>
      <c r="S82" s="17"/>
      <c r="T82" s="14"/>
      <c r="U82" s="15"/>
      <c r="V82" s="16"/>
      <c r="W82" s="17"/>
      <c r="X82" s="14"/>
      <c r="Y82" s="15"/>
      <c r="Z82" s="16"/>
      <c r="AA82" s="17"/>
      <c r="AB82" s="17"/>
    </row>
    <row r="83" spans="8:28" x14ac:dyDescent="0.25">
      <c r="H83" s="14"/>
      <c r="I83" s="15"/>
      <c r="J83" s="16"/>
      <c r="K83" s="16"/>
      <c r="L83" s="17"/>
      <c r="M83" s="17"/>
      <c r="N83" s="17"/>
      <c r="O83" s="17"/>
      <c r="P83" s="17"/>
      <c r="Q83" s="17"/>
      <c r="R83" s="17"/>
      <c r="S83" s="17"/>
      <c r="T83" s="14"/>
      <c r="U83" s="15"/>
      <c r="V83" s="16"/>
      <c r="W83" s="17"/>
      <c r="X83" s="14"/>
      <c r="Y83" s="15"/>
      <c r="Z83" s="16"/>
      <c r="AA83" s="17"/>
      <c r="AB83" s="17"/>
    </row>
    <row r="84" spans="8:28" x14ac:dyDescent="0.25">
      <c r="H84" s="14"/>
      <c r="I84" s="15"/>
      <c r="J84" s="16"/>
      <c r="K84" s="16"/>
      <c r="L84" s="17"/>
      <c r="M84" s="17"/>
      <c r="N84" s="17"/>
      <c r="O84" s="17"/>
      <c r="P84" s="17"/>
      <c r="Q84" s="17"/>
      <c r="R84" s="17"/>
      <c r="S84" s="17"/>
      <c r="T84" s="15"/>
      <c r="U84" s="15"/>
      <c r="V84" s="16"/>
      <c r="W84" s="17"/>
      <c r="X84" s="15"/>
      <c r="Y84" s="15"/>
      <c r="Z84" s="16"/>
      <c r="AA84" s="17"/>
      <c r="AB84" s="17"/>
    </row>
    <row r="85" spans="8:28" x14ac:dyDescent="0.25">
      <c r="H85" s="14"/>
      <c r="I85" s="15"/>
      <c r="J85" s="16"/>
      <c r="K85" s="16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</row>
    <row r="86" spans="8:28" x14ac:dyDescent="0.25">
      <c r="H86" s="14"/>
      <c r="I86" s="15"/>
      <c r="J86" s="16"/>
      <c r="K86" s="16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</row>
    <row r="87" spans="8:28" x14ac:dyDescent="0.25">
      <c r="H87" s="14"/>
      <c r="I87" s="15"/>
      <c r="J87" s="16"/>
      <c r="K87" s="16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</row>
    <row r="88" spans="8:28" x14ac:dyDescent="0.25">
      <c r="H88" s="14"/>
      <c r="I88" s="15"/>
      <c r="J88" s="16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</row>
    <row r="89" spans="8:28" x14ac:dyDescent="0.25">
      <c r="H89" s="14"/>
      <c r="I89" s="15"/>
      <c r="J89" s="16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</row>
    <row r="90" spans="8:28" x14ac:dyDescent="0.25">
      <c r="H90" s="14"/>
      <c r="I90" s="15"/>
      <c r="J90" s="16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</row>
    <row r="91" spans="8:28" x14ac:dyDescent="0.25">
      <c r="H91" s="14"/>
      <c r="I91" s="15"/>
      <c r="J91" s="16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</row>
    <row r="92" spans="8:28" x14ac:dyDescent="0.25">
      <c r="H92" s="14"/>
      <c r="I92" s="15"/>
      <c r="J92" s="16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</row>
    <row r="93" spans="8:28" x14ac:dyDescent="0.25">
      <c r="H93" s="14"/>
      <c r="I93" s="15"/>
      <c r="J93" s="16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</row>
    <row r="94" spans="8:28" x14ac:dyDescent="0.25">
      <c r="H94" s="14"/>
      <c r="I94" s="15"/>
      <c r="J94" s="16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</row>
    <row r="95" spans="8:28" x14ac:dyDescent="0.25">
      <c r="H95" s="14"/>
      <c r="I95" s="15"/>
      <c r="J95" s="16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</row>
    <row r="96" spans="8:28" x14ac:dyDescent="0.25">
      <c r="H96" s="14"/>
      <c r="I96" s="15"/>
      <c r="J96" s="16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</row>
    <row r="97" spans="8:28" x14ac:dyDescent="0.25">
      <c r="H97" s="14"/>
      <c r="I97" s="15"/>
      <c r="J97" s="16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</row>
    <row r="98" spans="8:28" x14ac:dyDescent="0.25">
      <c r="H98" s="14"/>
      <c r="I98" s="15"/>
      <c r="J98" s="16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</row>
    <row r="99" spans="8:28" x14ac:dyDescent="0.25">
      <c r="H99" s="14"/>
      <c r="I99" s="15"/>
      <c r="J99" s="16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</row>
    <row r="100" spans="8:28" x14ac:dyDescent="0.25">
      <c r="H100" s="14"/>
      <c r="I100" s="15"/>
      <c r="J100" s="16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</row>
    <row r="101" spans="8:28" x14ac:dyDescent="0.25">
      <c r="H101" s="14"/>
      <c r="I101" s="15"/>
      <c r="J101" s="16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</row>
    <row r="102" spans="8:28" x14ac:dyDescent="0.25">
      <c r="H102" s="14"/>
      <c r="I102" s="15"/>
      <c r="J102" s="16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</row>
    <row r="103" spans="8:28" x14ac:dyDescent="0.25">
      <c r="H103" s="14"/>
      <c r="I103" s="15"/>
      <c r="J103" s="16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</row>
    <row r="104" spans="8:28" x14ac:dyDescent="0.25">
      <c r="H104" s="14"/>
      <c r="I104" s="15"/>
      <c r="J104" s="16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</row>
    <row r="105" spans="8:28" x14ac:dyDescent="0.25">
      <c r="H105" s="14"/>
      <c r="I105" s="15"/>
      <c r="J105" s="16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</row>
    <row r="106" spans="8:28" x14ac:dyDescent="0.25">
      <c r="H106" s="14"/>
      <c r="I106" s="15"/>
      <c r="J106" s="16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</row>
    <row r="107" spans="8:28" x14ac:dyDescent="0.25">
      <c r="H107" s="14"/>
      <c r="I107" s="15"/>
      <c r="J107" s="16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</row>
    <row r="108" spans="8:28" x14ac:dyDescent="0.25">
      <c r="H108" s="14"/>
      <c r="I108" s="15"/>
      <c r="J108" s="16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</row>
    <row r="109" spans="8:28" x14ac:dyDescent="0.25">
      <c r="H109" s="14"/>
      <c r="I109" s="15"/>
      <c r="J109" s="16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</row>
    <row r="110" spans="8:28" x14ac:dyDescent="0.25">
      <c r="H110" s="14"/>
      <c r="I110" s="15"/>
      <c r="J110" s="16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</row>
    <row r="111" spans="8:28" x14ac:dyDescent="0.25">
      <c r="H111" s="14"/>
      <c r="I111" s="15"/>
      <c r="J111" s="16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</row>
    <row r="112" spans="8:28" x14ac:dyDescent="0.25">
      <c r="H112" s="14"/>
      <c r="I112" s="15"/>
      <c r="J112" s="16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</row>
    <row r="113" spans="8:28" x14ac:dyDescent="0.25">
      <c r="H113" s="14"/>
      <c r="I113" s="15"/>
      <c r="J113" s="16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</row>
    <row r="114" spans="8:28" x14ac:dyDescent="0.25">
      <c r="H114" s="2"/>
      <c r="I114" s="3"/>
      <c r="J114" s="5"/>
    </row>
    <row r="115" spans="8:28" x14ac:dyDescent="0.25">
      <c r="H115" s="2"/>
      <c r="I115" s="3"/>
      <c r="J115" s="5"/>
    </row>
    <row r="116" spans="8:28" x14ac:dyDescent="0.25">
      <c r="H116" s="2"/>
      <c r="I116" s="3"/>
      <c r="J116" s="5"/>
    </row>
    <row r="117" spans="8:28" x14ac:dyDescent="0.25">
      <c r="H117" s="2"/>
      <c r="I117" s="3"/>
      <c r="J117" s="5"/>
    </row>
    <row r="118" spans="8:28" x14ac:dyDescent="0.25">
      <c r="H118" s="2"/>
      <c r="I118" s="3"/>
      <c r="J118" s="5"/>
    </row>
    <row r="119" spans="8:28" x14ac:dyDescent="0.25">
      <c r="H119" s="2"/>
      <c r="I119" s="3"/>
      <c r="J119" s="5"/>
    </row>
    <row r="120" spans="8:28" x14ac:dyDescent="0.25">
      <c r="H120" s="2"/>
      <c r="I120" s="3"/>
      <c r="J120" s="5"/>
    </row>
    <row r="121" spans="8:28" x14ac:dyDescent="0.25">
      <c r="H121" s="2"/>
      <c r="I121" s="3"/>
      <c r="J121" s="5"/>
    </row>
    <row r="122" spans="8:28" x14ac:dyDescent="0.25">
      <c r="H122" s="2"/>
      <c r="I122" s="3"/>
      <c r="J122" s="5"/>
    </row>
    <row r="123" spans="8:28" x14ac:dyDescent="0.25">
      <c r="H123" s="2"/>
      <c r="I123" s="3"/>
      <c r="J123" s="5"/>
    </row>
    <row r="124" spans="8:28" x14ac:dyDescent="0.25">
      <c r="H124" s="2"/>
      <c r="I124" s="3"/>
      <c r="J124" s="5"/>
    </row>
    <row r="125" spans="8:28" x14ac:dyDescent="0.25">
      <c r="H125" s="2"/>
      <c r="I125" s="3"/>
      <c r="J125" s="5"/>
    </row>
    <row r="126" spans="8:28" x14ac:dyDescent="0.25">
      <c r="H126" s="2"/>
      <c r="I126" s="3"/>
      <c r="J126" s="5"/>
    </row>
    <row r="127" spans="8:28" x14ac:dyDescent="0.25">
      <c r="H127" s="2"/>
      <c r="I127" s="3"/>
      <c r="J127" s="5"/>
    </row>
    <row r="128" spans="8:28" x14ac:dyDescent="0.25">
      <c r="H128" s="2"/>
      <c r="I128" s="3"/>
      <c r="J128" s="5"/>
    </row>
    <row r="129" spans="8:10" x14ac:dyDescent="0.25">
      <c r="H129" s="2"/>
      <c r="I129" s="3"/>
      <c r="J129" s="5"/>
    </row>
    <row r="130" spans="8:10" x14ac:dyDescent="0.25">
      <c r="H130" s="2"/>
      <c r="I130" s="3"/>
      <c r="J130" s="5"/>
    </row>
    <row r="131" spans="8:10" x14ac:dyDescent="0.25">
      <c r="H131" s="2"/>
      <c r="I131" s="3"/>
      <c r="J131" s="5"/>
    </row>
    <row r="132" spans="8:10" x14ac:dyDescent="0.25">
      <c r="H132" s="2"/>
      <c r="I132" s="3"/>
      <c r="J132" s="5"/>
    </row>
    <row r="133" spans="8:10" x14ac:dyDescent="0.25">
      <c r="H133" s="2"/>
      <c r="I133" s="3"/>
      <c r="J133" s="5"/>
    </row>
    <row r="134" spans="8:10" x14ac:dyDescent="0.25">
      <c r="H134" s="2"/>
      <c r="I134" s="3"/>
      <c r="J134" s="5"/>
    </row>
    <row r="135" spans="8:10" x14ac:dyDescent="0.25">
      <c r="H135" s="2"/>
      <c r="I135" s="3"/>
      <c r="J135" s="5"/>
    </row>
    <row r="136" spans="8:10" x14ac:dyDescent="0.25">
      <c r="H136" s="2"/>
      <c r="I136" s="3"/>
      <c r="J136" s="5"/>
    </row>
    <row r="137" spans="8:10" x14ac:dyDescent="0.25">
      <c r="H137" s="2"/>
      <c r="I137" s="3"/>
      <c r="J137" s="5"/>
    </row>
    <row r="138" spans="8:10" x14ac:dyDescent="0.25">
      <c r="H138" s="2"/>
      <c r="I138" s="3"/>
      <c r="J138" s="5"/>
    </row>
    <row r="139" spans="8:10" x14ac:dyDescent="0.25">
      <c r="H139" s="2"/>
      <c r="I139" s="3"/>
      <c r="J139" s="5"/>
    </row>
    <row r="140" spans="8:10" x14ac:dyDescent="0.25">
      <c r="H140" s="2"/>
      <c r="I140" s="3"/>
      <c r="J140" s="5"/>
    </row>
    <row r="141" spans="8:10" x14ac:dyDescent="0.25">
      <c r="H141" s="2"/>
      <c r="I141" s="3"/>
      <c r="J141" s="5"/>
    </row>
    <row r="142" spans="8:10" x14ac:dyDescent="0.25">
      <c r="H142" s="2"/>
      <c r="I142" s="3"/>
      <c r="J142" s="5"/>
    </row>
    <row r="143" spans="8:10" x14ac:dyDescent="0.25">
      <c r="H143" s="2"/>
      <c r="I143" s="3"/>
      <c r="J143" s="5"/>
    </row>
    <row r="144" spans="8:10" ht="15.75" thickBot="1" x14ac:dyDescent="0.3">
      <c r="H144" s="4"/>
      <c r="I144" s="4"/>
      <c r="J144" s="6"/>
    </row>
    <row r="145" spans="8:10" x14ac:dyDescent="0.25">
      <c r="H145" s="7"/>
      <c r="I145" s="7"/>
      <c r="J145" s="7"/>
    </row>
  </sheetData>
  <sortState xmlns:xlrd2="http://schemas.microsoft.com/office/spreadsheetml/2017/richdata2" ref="P3:P33">
    <sortCondition ref="P3"/>
  </sortState>
  <mergeCells count="1">
    <mergeCell ref="A22:D2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04393-A50B-4122-AE1E-6D88843D8E10}">
  <sheetPr codeName="Лист4"/>
  <dimension ref="A1:AB145"/>
  <sheetViews>
    <sheetView topLeftCell="G13" zoomScaleNormal="100" workbookViewId="0">
      <selection activeCell="Y25" sqref="Y25"/>
    </sheetView>
  </sheetViews>
  <sheetFormatPr defaultRowHeight="15" x14ac:dyDescent="0.25"/>
  <cols>
    <col min="1" max="1" width="19" customWidth="1"/>
    <col min="2" max="2" width="24.5703125" customWidth="1"/>
    <col min="3" max="3" width="27.7109375" customWidth="1"/>
    <col min="4" max="4" width="29" customWidth="1"/>
    <col min="6" max="6" width="26.7109375" customWidth="1"/>
    <col min="9" max="9" width="10.7109375" customWidth="1"/>
    <col min="10" max="10" width="17.7109375" customWidth="1"/>
    <col min="11" max="11" width="16.85546875" customWidth="1"/>
    <col min="13" max="13" width="13.140625" customWidth="1"/>
    <col min="14" max="14" width="16.5703125" customWidth="1"/>
    <col min="15" max="15" width="17.28515625" customWidth="1"/>
    <col min="17" max="17" width="12.140625" customWidth="1"/>
    <col min="18" max="18" width="14.85546875" customWidth="1"/>
    <col min="19" max="19" width="18.7109375" customWidth="1"/>
    <col min="20" max="20" width="9.7109375" customWidth="1"/>
    <col min="21" max="21" width="16.140625" customWidth="1"/>
    <col min="22" max="22" width="10.7109375" customWidth="1"/>
    <col min="23" max="23" width="18.28515625" customWidth="1"/>
    <col min="24" max="24" width="9.28515625" customWidth="1"/>
    <col min="25" max="25" width="16.7109375" customWidth="1"/>
    <col min="26" max="26" width="15.7109375" customWidth="1"/>
    <col min="27" max="27" width="18.140625" customWidth="1"/>
  </cols>
  <sheetData>
    <row r="1" spans="1:28" ht="32.25" thickBot="1" x14ac:dyDescent="0.3">
      <c r="A1" s="22" t="s">
        <v>9</v>
      </c>
      <c r="B1" s="22" t="s">
        <v>5</v>
      </c>
      <c r="C1" s="23" t="s">
        <v>10</v>
      </c>
      <c r="D1" s="23" t="s">
        <v>6</v>
      </c>
      <c r="F1" s="21" t="s">
        <v>11</v>
      </c>
      <c r="I1" s="7"/>
      <c r="J1" s="7"/>
      <c r="K1" s="7"/>
      <c r="L1" s="7"/>
      <c r="M1" s="7"/>
      <c r="N1" s="7"/>
      <c r="O1" s="7"/>
      <c r="P1" s="7"/>
      <c r="Q1" s="7"/>
      <c r="R1" s="7"/>
      <c r="S1" s="7"/>
    </row>
    <row r="2" spans="1:28" ht="15.75" x14ac:dyDescent="0.25">
      <c r="A2" s="18"/>
      <c r="B2" s="12">
        <v>1.5676381113753954</v>
      </c>
      <c r="C2">
        <v>2.2378918748753831</v>
      </c>
      <c r="D2">
        <v>1.3780842369093318</v>
      </c>
      <c r="F2" s="24">
        <v>-1</v>
      </c>
      <c r="H2" s="34" t="s">
        <v>15</v>
      </c>
      <c r="I2" s="34" t="s">
        <v>17</v>
      </c>
      <c r="J2" s="34" t="s">
        <v>18</v>
      </c>
      <c r="K2" s="29"/>
      <c r="L2" s="34" t="s">
        <v>15</v>
      </c>
      <c r="M2" s="34" t="s">
        <v>17</v>
      </c>
      <c r="N2" s="34" t="s">
        <v>18</v>
      </c>
      <c r="O2" s="29"/>
      <c r="P2" s="34" t="s">
        <v>15</v>
      </c>
      <c r="Q2" s="34" t="s">
        <v>17</v>
      </c>
      <c r="R2" s="34" t="s">
        <v>18</v>
      </c>
      <c r="S2" s="29"/>
      <c r="T2" s="13"/>
      <c r="U2" s="13"/>
      <c r="V2" s="13"/>
      <c r="W2" s="13"/>
      <c r="X2" s="13"/>
      <c r="Y2" s="13"/>
      <c r="Z2" s="13"/>
      <c r="AA2" s="13"/>
      <c r="AB2" s="17"/>
    </row>
    <row r="3" spans="1:28" ht="15.75" x14ac:dyDescent="0.25">
      <c r="A3" s="18"/>
      <c r="B3" s="12">
        <v>0.58337128231796576</v>
      </c>
      <c r="C3">
        <v>1.0987709504885064</v>
      </c>
      <c r="D3">
        <v>0.94454833755931955</v>
      </c>
      <c r="F3" s="24">
        <v>-0.5</v>
      </c>
      <c r="H3" s="2">
        <v>-1</v>
      </c>
      <c r="I3" s="3">
        <v>0</v>
      </c>
      <c r="J3" s="5">
        <v>0</v>
      </c>
      <c r="K3" s="5"/>
      <c r="L3" s="2">
        <v>-1</v>
      </c>
      <c r="M3" s="3">
        <v>0</v>
      </c>
      <c r="N3" s="5">
        <v>0</v>
      </c>
      <c r="O3" s="5"/>
      <c r="P3" s="2">
        <v>-1</v>
      </c>
      <c r="Q3" s="3">
        <v>0</v>
      </c>
      <c r="R3" s="5">
        <v>0</v>
      </c>
      <c r="S3" s="5"/>
      <c r="T3" s="14"/>
      <c r="U3" s="15"/>
      <c r="V3" s="16"/>
      <c r="W3" s="16"/>
      <c r="X3" s="14"/>
      <c r="Y3" s="15"/>
      <c r="Z3" s="16"/>
      <c r="AA3" s="16"/>
      <c r="AB3" s="17"/>
    </row>
    <row r="4" spans="1:28" ht="15.75" x14ac:dyDescent="0.25">
      <c r="A4" s="18"/>
      <c r="B4" s="12">
        <v>0.5992073375026048</v>
      </c>
      <c r="C4">
        <v>1.6551592528092285</v>
      </c>
      <c r="D4">
        <v>0.61847392685648017</v>
      </c>
      <c r="F4" s="24">
        <v>0</v>
      </c>
      <c r="H4" s="2">
        <v>-0.5</v>
      </c>
      <c r="I4" s="3">
        <v>0</v>
      </c>
      <c r="J4" s="5">
        <v>0</v>
      </c>
      <c r="K4" s="5"/>
      <c r="L4" s="2">
        <v>-0.5</v>
      </c>
      <c r="M4" s="3">
        <v>0</v>
      </c>
      <c r="N4" s="5">
        <v>0</v>
      </c>
      <c r="O4" s="5"/>
      <c r="P4" s="2">
        <v>-0.5</v>
      </c>
      <c r="Q4" s="3">
        <v>0</v>
      </c>
      <c r="R4" s="5">
        <v>0</v>
      </c>
      <c r="S4" s="5"/>
      <c r="T4" s="14"/>
      <c r="U4" s="15"/>
      <c r="V4" s="16"/>
      <c r="W4" s="16"/>
      <c r="X4" s="14"/>
      <c r="Y4" s="15"/>
      <c r="Z4" s="16"/>
      <c r="AA4" s="16"/>
      <c r="AB4" s="17"/>
    </row>
    <row r="5" spans="1:28" ht="15.75" x14ac:dyDescent="0.25">
      <c r="A5" s="18"/>
      <c r="B5" s="12">
        <v>1.359686875317921</v>
      </c>
      <c r="C5">
        <v>2.3417464556964092</v>
      </c>
      <c r="D5">
        <v>1.0853311049033236</v>
      </c>
      <c r="F5" s="24">
        <v>0.5</v>
      </c>
      <c r="H5" s="2">
        <v>0</v>
      </c>
      <c r="I5" s="3">
        <v>0</v>
      </c>
      <c r="J5" s="5">
        <v>0</v>
      </c>
      <c r="K5" s="5"/>
      <c r="L5" s="2">
        <v>0</v>
      </c>
      <c r="M5" s="3">
        <v>1</v>
      </c>
      <c r="N5" s="5">
        <v>0.05</v>
      </c>
      <c r="O5" s="5"/>
      <c r="P5" s="2">
        <v>0</v>
      </c>
      <c r="Q5" s="3">
        <v>0</v>
      </c>
      <c r="R5" s="5">
        <v>0</v>
      </c>
      <c r="S5" s="5"/>
      <c r="T5" s="14"/>
      <c r="U5" s="15"/>
      <c r="V5" s="16"/>
      <c r="W5" s="16"/>
      <c r="X5" s="14"/>
      <c r="Y5" s="15"/>
      <c r="Z5" s="16"/>
      <c r="AA5" s="16"/>
      <c r="AB5" s="17"/>
    </row>
    <row r="6" spans="1:28" ht="15.75" x14ac:dyDescent="0.25">
      <c r="A6" s="18"/>
      <c r="B6" s="12">
        <v>0.59034606773154419</v>
      </c>
      <c r="C6">
        <v>2.756060411743289</v>
      </c>
      <c r="D6">
        <v>1.1798879708663597</v>
      </c>
      <c r="F6" s="24">
        <v>1</v>
      </c>
      <c r="H6" s="2">
        <v>0.5</v>
      </c>
      <c r="I6" s="3">
        <v>0</v>
      </c>
      <c r="J6" s="5">
        <v>0</v>
      </c>
      <c r="K6" s="5"/>
      <c r="L6" s="2">
        <v>0.5</v>
      </c>
      <c r="M6" s="3">
        <v>2</v>
      </c>
      <c r="N6" s="5">
        <v>0.15</v>
      </c>
      <c r="O6" s="5"/>
      <c r="P6" s="2">
        <v>0.5</v>
      </c>
      <c r="Q6" s="3">
        <v>2</v>
      </c>
      <c r="R6" s="5">
        <v>0.1</v>
      </c>
      <c r="S6" s="5"/>
      <c r="T6" s="14"/>
      <c r="U6" s="15"/>
      <c r="V6" s="16"/>
      <c r="W6" s="16"/>
      <c r="X6" s="14"/>
      <c r="Y6" s="15"/>
      <c r="Z6" s="16"/>
      <c r="AA6" s="16"/>
      <c r="AB6" s="17"/>
    </row>
    <row r="7" spans="1:28" ht="15.75" x14ac:dyDescent="0.25">
      <c r="A7" s="18"/>
      <c r="B7" s="12">
        <v>0.70364595390336349</v>
      </c>
      <c r="C7">
        <v>-0.46576247430791423</v>
      </c>
      <c r="D7">
        <v>0.33477176111902723</v>
      </c>
      <c r="F7" s="24">
        <v>1.5</v>
      </c>
      <c r="H7" s="2">
        <v>1</v>
      </c>
      <c r="I7" s="3">
        <v>7</v>
      </c>
      <c r="J7" s="5">
        <v>0.35</v>
      </c>
      <c r="K7" s="5"/>
      <c r="L7" s="2">
        <v>1</v>
      </c>
      <c r="M7" s="3">
        <v>0</v>
      </c>
      <c r="N7" s="5">
        <v>0.15</v>
      </c>
      <c r="O7" s="5"/>
      <c r="P7" s="2">
        <v>1</v>
      </c>
      <c r="Q7" s="3">
        <v>10</v>
      </c>
      <c r="R7" s="5">
        <v>0.6</v>
      </c>
      <c r="S7" s="5"/>
      <c r="T7" s="14"/>
      <c r="U7" s="15"/>
      <c r="V7" s="16"/>
      <c r="W7" s="16"/>
      <c r="X7" s="14"/>
      <c r="Y7" s="15"/>
      <c r="Z7" s="16"/>
      <c r="AA7" s="16"/>
      <c r="AB7" s="17"/>
    </row>
    <row r="8" spans="1:28" ht="15.75" x14ac:dyDescent="0.25">
      <c r="A8" s="18"/>
      <c r="B8" s="12">
        <v>0.87435634919121197</v>
      </c>
      <c r="C8">
        <v>2.1317309886073779</v>
      </c>
      <c r="D8">
        <v>0.94802043038492767</v>
      </c>
      <c r="F8" s="24">
        <v>2</v>
      </c>
      <c r="H8" s="2">
        <v>1.5</v>
      </c>
      <c r="I8" s="3">
        <v>2</v>
      </c>
      <c r="J8" s="5">
        <v>0.45</v>
      </c>
      <c r="K8" s="5"/>
      <c r="L8" s="2">
        <v>1.5</v>
      </c>
      <c r="M8" s="3">
        <v>2</v>
      </c>
      <c r="N8" s="5">
        <v>0.25</v>
      </c>
      <c r="O8" s="5"/>
      <c r="P8" s="2">
        <v>1.5</v>
      </c>
      <c r="Q8" s="3">
        <v>6</v>
      </c>
      <c r="R8" s="5">
        <v>0.9</v>
      </c>
      <c r="S8" s="5"/>
      <c r="T8" s="14"/>
      <c r="U8" s="15"/>
      <c r="V8" s="16"/>
      <c r="W8" s="16"/>
      <c r="X8" s="14"/>
      <c r="Y8" s="15"/>
      <c r="Z8" s="16"/>
      <c r="AA8" s="16"/>
      <c r="AB8" s="17"/>
    </row>
    <row r="9" spans="1:28" ht="15.75" x14ac:dyDescent="0.25">
      <c r="A9" s="18"/>
      <c r="B9" s="12">
        <v>1.5180471144661425</v>
      </c>
      <c r="C9">
        <v>2.25013080858474</v>
      </c>
      <c r="D9">
        <v>1.0133247403542684</v>
      </c>
      <c r="F9" s="24">
        <v>2.5</v>
      </c>
      <c r="H9" s="2">
        <v>2</v>
      </c>
      <c r="I9" s="3">
        <v>6</v>
      </c>
      <c r="J9" s="5">
        <v>0.75</v>
      </c>
      <c r="K9" s="5"/>
      <c r="L9" s="2">
        <v>2</v>
      </c>
      <c r="M9" s="3">
        <v>7</v>
      </c>
      <c r="N9" s="5">
        <v>0.6</v>
      </c>
      <c r="O9" s="5"/>
      <c r="P9" s="2">
        <v>2</v>
      </c>
      <c r="Q9" s="3">
        <v>2</v>
      </c>
      <c r="R9" s="5">
        <v>1</v>
      </c>
      <c r="S9" s="5"/>
      <c r="T9" s="14"/>
      <c r="U9" s="15"/>
      <c r="V9" s="16"/>
      <c r="W9" s="16"/>
      <c r="X9" s="14"/>
      <c r="Y9" s="15"/>
      <c r="Z9" s="16"/>
      <c r="AA9" s="16"/>
      <c r="AB9" s="17"/>
    </row>
    <row r="10" spans="1:28" ht="15.75" x14ac:dyDescent="0.25">
      <c r="A10" s="18"/>
      <c r="B10" s="12">
        <v>2.5685704696077591</v>
      </c>
      <c r="C10">
        <v>2.2922906967324126</v>
      </c>
      <c r="D10">
        <v>0.94705746837906912</v>
      </c>
      <c r="F10" s="24">
        <v>3</v>
      </c>
      <c r="H10" s="2">
        <v>2.5</v>
      </c>
      <c r="I10" s="3">
        <v>2</v>
      </c>
      <c r="J10" s="5">
        <v>0.85</v>
      </c>
      <c r="K10" s="5"/>
      <c r="L10" s="2">
        <v>2.5</v>
      </c>
      <c r="M10" s="3">
        <v>5</v>
      </c>
      <c r="N10" s="5">
        <v>0.85</v>
      </c>
      <c r="O10" s="5"/>
      <c r="P10" s="2">
        <v>2.5</v>
      </c>
      <c r="Q10" s="3">
        <v>0</v>
      </c>
      <c r="R10" s="5">
        <v>1</v>
      </c>
      <c r="S10" s="5"/>
      <c r="T10" s="14"/>
      <c r="U10" s="15"/>
      <c r="V10" s="16"/>
      <c r="W10" s="16"/>
      <c r="X10" s="14"/>
      <c r="Y10" s="15"/>
      <c r="Z10" s="16"/>
      <c r="AA10" s="16"/>
      <c r="AB10" s="17"/>
    </row>
    <row r="11" spans="1:28" ht="15.75" x14ac:dyDescent="0.25">
      <c r="A11" s="18"/>
      <c r="B11" s="12">
        <v>2.5651570990252353</v>
      </c>
      <c r="C11">
        <v>1.6058194001378063</v>
      </c>
      <c r="D11">
        <v>1.1054651746750621</v>
      </c>
      <c r="F11" s="24">
        <v>3.5</v>
      </c>
      <c r="H11" s="2">
        <v>3</v>
      </c>
      <c r="I11" s="3">
        <v>2</v>
      </c>
      <c r="J11" s="5">
        <v>0.95</v>
      </c>
      <c r="K11" s="5"/>
      <c r="L11" s="2">
        <v>3</v>
      </c>
      <c r="M11" s="3">
        <v>3</v>
      </c>
      <c r="N11" s="5">
        <v>1</v>
      </c>
      <c r="O11" s="5"/>
      <c r="P11" s="2">
        <v>3</v>
      </c>
      <c r="Q11" s="3">
        <v>0</v>
      </c>
      <c r="R11" s="5">
        <v>1</v>
      </c>
      <c r="S11" s="5"/>
      <c r="T11" s="14"/>
      <c r="U11" s="15"/>
      <c r="V11" s="16"/>
      <c r="W11" s="16"/>
      <c r="X11" s="14"/>
      <c r="Y11" s="15"/>
      <c r="Z11" s="16"/>
      <c r="AA11" s="16"/>
      <c r="AB11" s="17"/>
    </row>
    <row r="12" spans="1:28" ht="15.75" x14ac:dyDescent="0.25">
      <c r="A12" s="18"/>
      <c r="B12" s="12">
        <v>1.0016252912901136</v>
      </c>
      <c r="C12">
        <v>1.2933559427389669</v>
      </c>
      <c r="D12">
        <v>0.79816417602549117</v>
      </c>
      <c r="F12" s="24">
        <v>4</v>
      </c>
      <c r="H12" s="2">
        <v>3.5</v>
      </c>
      <c r="I12" s="3">
        <v>1</v>
      </c>
      <c r="J12" s="5">
        <v>1</v>
      </c>
      <c r="K12" s="5"/>
      <c r="L12" s="2">
        <v>3.5</v>
      </c>
      <c r="M12" s="3">
        <v>0</v>
      </c>
      <c r="N12" s="5">
        <v>1</v>
      </c>
      <c r="O12" s="5"/>
      <c r="P12" s="2">
        <v>3.5</v>
      </c>
      <c r="Q12" s="3">
        <v>0</v>
      </c>
      <c r="R12" s="5">
        <v>1</v>
      </c>
      <c r="S12" s="5"/>
      <c r="T12" s="14"/>
      <c r="U12" s="15"/>
      <c r="V12" s="16"/>
      <c r="W12" s="16"/>
      <c r="X12" s="14"/>
      <c r="Y12" s="15"/>
      <c r="Z12" s="16"/>
      <c r="AA12" s="16"/>
      <c r="AB12" s="17"/>
    </row>
    <row r="13" spans="1:28" ht="15.75" x14ac:dyDescent="0.25">
      <c r="A13" s="18"/>
      <c r="B13" s="12">
        <v>2.2887870030142041</v>
      </c>
      <c r="C13">
        <v>0.20014324136682521</v>
      </c>
      <c r="D13">
        <v>0.34722612765770872</v>
      </c>
      <c r="F13" s="24">
        <v>4.5</v>
      </c>
      <c r="H13" s="2">
        <v>4</v>
      </c>
      <c r="I13" s="3">
        <v>0</v>
      </c>
      <c r="J13" s="5">
        <v>1</v>
      </c>
      <c r="K13" s="5"/>
      <c r="L13" s="2">
        <v>4</v>
      </c>
      <c r="M13" s="3">
        <v>0</v>
      </c>
      <c r="N13" s="5">
        <v>1</v>
      </c>
      <c r="O13" s="5"/>
      <c r="P13" s="2">
        <v>4</v>
      </c>
      <c r="Q13" s="3">
        <v>0</v>
      </c>
      <c r="R13" s="5">
        <v>1</v>
      </c>
      <c r="S13" s="5"/>
      <c r="T13" s="14"/>
      <c r="U13" s="15"/>
      <c r="V13" s="16"/>
      <c r="W13" s="16"/>
      <c r="X13" s="14"/>
      <c r="Y13" s="15"/>
      <c r="Z13" s="16"/>
      <c r="AA13" s="16"/>
      <c r="AB13" s="17"/>
    </row>
    <row r="14" spans="1:28" ht="15.75" x14ac:dyDescent="0.25">
      <c r="A14" s="18"/>
      <c r="B14" s="12">
        <v>3.1649290669299401</v>
      </c>
      <c r="C14">
        <v>1.7596033569710818</v>
      </c>
      <c r="D14">
        <v>1.5027559966603299</v>
      </c>
      <c r="F14" s="24">
        <v>5</v>
      </c>
      <c r="H14" s="2">
        <v>4.5</v>
      </c>
      <c r="I14" s="3">
        <v>0</v>
      </c>
      <c r="J14" s="5">
        <v>1</v>
      </c>
      <c r="K14" s="5"/>
      <c r="L14" s="2">
        <v>4.5</v>
      </c>
      <c r="M14" s="3">
        <v>0</v>
      </c>
      <c r="N14" s="5">
        <v>1</v>
      </c>
      <c r="O14" s="5"/>
      <c r="P14" s="2">
        <v>4.5</v>
      </c>
      <c r="Q14" s="3">
        <v>0</v>
      </c>
      <c r="R14" s="5">
        <v>1</v>
      </c>
      <c r="S14" s="5"/>
      <c r="T14" s="14"/>
      <c r="U14" s="15"/>
      <c r="V14" s="16"/>
      <c r="W14" s="16"/>
      <c r="X14" s="14"/>
      <c r="Y14" s="15"/>
      <c r="Z14" s="16"/>
      <c r="AA14" s="16"/>
      <c r="AB14" s="17"/>
    </row>
    <row r="15" spans="1:28" ht="15.75" x14ac:dyDescent="0.25">
      <c r="A15" s="18"/>
      <c r="B15" s="12">
        <v>0.60471150702575061</v>
      </c>
      <c r="C15">
        <v>2.8122765486653356</v>
      </c>
      <c r="D15">
        <v>0.62784325493257742</v>
      </c>
      <c r="F15" s="24">
        <v>5.5</v>
      </c>
      <c r="H15" s="2">
        <v>5</v>
      </c>
      <c r="I15" s="3">
        <v>0</v>
      </c>
      <c r="J15" s="5">
        <v>1</v>
      </c>
      <c r="K15" s="5"/>
      <c r="L15" s="2">
        <v>5</v>
      </c>
      <c r="M15" s="3">
        <v>0</v>
      </c>
      <c r="N15" s="5">
        <v>1</v>
      </c>
      <c r="O15" s="5"/>
      <c r="P15" s="2">
        <v>5</v>
      </c>
      <c r="Q15" s="3">
        <v>0</v>
      </c>
      <c r="R15" s="5">
        <v>1</v>
      </c>
      <c r="S15" s="5"/>
      <c r="T15" s="14"/>
      <c r="U15" s="15"/>
      <c r="V15" s="16"/>
      <c r="W15" s="16"/>
      <c r="X15" s="14"/>
      <c r="Y15" s="15"/>
      <c r="Z15" s="16"/>
      <c r="AA15" s="16"/>
      <c r="AB15" s="17"/>
    </row>
    <row r="16" spans="1:28" ht="15.75" x14ac:dyDescent="0.25">
      <c r="A16" s="18"/>
      <c r="B16" s="12">
        <v>1.8993025584821122</v>
      </c>
      <c r="C16">
        <v>1.8378174189741627</v>
      </c>
      <c r="D16">
        <v>0.73474014855938052</v>
      </c>
      <c r="F16" s="24">
        <v>6</v>
      </c>
      <c r="H16" s="2">
        <v>5.5</v>
      </c>
      <c r="I16" s="3">
        <v>0</v>
      </c>
      <c r="J16" s="5">
        <v>1</v>
      </c>
      <c r="K16" s="5"/>
      <c r="L16" s="2">
        <v>5.5</v>
      </c>
      <c r="M16" s="3">
        <v>0</v>
      </c>
      <c r="N16" s="5">
        <v>1</v>
      </c>
      <c r="O16" s="5"/>
      <c r="P16" s="2">
        <v>5.5</v>
      </c>
      <c r="Q16" s="3">
        <v>0</v>
      </c>
      <c r="R16" s="5">
        <v>1</v>
      </c>
      <c r="S16" s="5"/>
      <c r="T16" s="14"/>
      <c r="U16" s="15"/>
      <c r="V16" s="16"/>
      <c r="W16" s="16"/>
      <c r="X16" s="14"/>
      <c r="Y16" s="15"/>
      <c r="Z16" s="16"/>
      <c r="AA16" s="16"/>
      <c r="AB16" s="17"/>
    </row>
    <row r="17" spans="1:28" ht="15.75" x14ac:dyDescent="0.25">
      <c r="A17" s="18"/>
      <c r="B17" s="12">
        <v>2.1959701560856244</v>
      </c>
      <c r="C17">
        <v>1.7949764544862632</v>
      </c>
      <c r="D17">
        <v>0.84522017581613196</v>
      </c>
      <c r="F17" s="24">
        <v>6.5</v>
      </c>
      <c r="H17" s="2">
        <v>6</v>
      </c>
      <c r="I17" s="3">
        <v>0</v>
      </c>
      <c r="J17" s="5">
        <v>1</v>
      </c>
      <c r="K17" s="5"/>
      <c r="L17" s="2">
        <v>6</v>
      </c>
      <c r="M17" s="3">
        <v>0</v>
      </c>
      <c r="N17" s="5">
        <v>1</v>
      </c>
      <c r="O17" s="5"/>
      <c r="P17" s="2">
        <v>6</v>
      </c>
      <c r="Q17" s="3">
        <v>0</v>
      </c>
      <c r="R17" s="5">
        <v>1</v>
      </c>
      <c r="S17" s="5"/>
      <c r="T17" s="14"/>
      <c r="U17" s="15"/>
      <c r="V17" s="16"/>
      <c r="W17" s="16"/>
      <c r="X17" s="14"/>
      <c r="Y17" s="15"/>
      <c r="Z17" s="16"/>
      <c r="AA17" s="16"/>
      <c r="AB17" s="17"/>
    </row>
    <row r="18" spans="1:28" ht="15.75" x14ac:dyDescent="0.25">
      <c r="A18" s="18"/>
      <c r="B18" s="12">
        <v>1.5928976709926614</v>
      </c>
      <c r="C18">
        <v>1.5488782319043946</v>
      </c>
      <c r="D18">
        <v>0.86789085172295577</v>
      </c>
      <c r="F18" s="24">
        <v>7</v>
      </c>
      <c r="H18" s="2">
        <v>6.5</v>
      </c>
      <c r="I18" s="3">
        <v>0</v>
      </c>
      <c r="J18" s="5">
        <v>1</v>
      </c>
      <c r="K18" s="5"/>
      <c r="L18" s="2">
        <v>6.5</v>
      </c>
      <c r="M18" s="3">
        <v>0</v>
      </c>
      <c r="N18" s="5">
        <v>1</v>
      </c>
      <c r="O18" s="5"/>
      <c r="P18" s="2">
        <v>6.5</v>
      </c>
      <c r="Q18" s="3">
        <v>0</v>
      </c>
      <c r="R18" s="5">
        <v>1</v>
      </c>
      <c r="S18" s="5"/>
      <c r="T18" s="14"/>
      <c r="U18" s="15"/>
      <c r="V18" s="16"/>
      <c r="W18" s="16"/>
      <c r="X18" s="14"/>
      <c r="Y18" s="15"/>
      <c r="Z18" s="16"/>
      <c r="AA18" s="16"/>
      <c r="AB18" s="17"/>
    </row>
    <row r="19" spans="1:28" ht="15.75" x14ac:dyDescent="0.25">
      <c r="A19" s="18"/>
      <c r="B19" s="12">
        <v>0.70237673207625551</v>
      </c>
      <c r="C19">
        <v>2.6486594253519078</v>
      </c>
      <c r="D19">
        <v>1.4144426071446039</v>
      </c>
      <c r="F19" s="24">
        <v>7.5</v>
      </c>
      <c r="H19" s="2">
        <v>7</v>
      </c>
      <c r="I19" s="3">
        <v>0</v>
      </c>
      <c r="J19" s="5">
        <v>1</v>
      </c>
      <c r="K19" s="5"/>
      <c r="L19" s="2">
        <v>7</v>
      </c>
      <c r="M19" s="3">
        <v>0</v>
      </c>
      <c r="N19" s="5">
        <v>1</v>
      </c>
      <c r="O19" s="5"/>
      <c r="P19" s="2">
        <v>7</v>
      </c>
      <c r="Q19" s="3">
        <v>0</v>
      </c>
      <c r="R19" s="5">
        <v>1</v>
      </c>
      <c r="S19" s="5"/>
      <c r="T19" s="14"/>
      <c r="U19" s="15"/>
      <c r="V19" s="16"/>
      <c r="W19" s="16"/>
      <c r="X19" s="14"/>
      <c r="Y19" s="15"/>
      <c r="Z19" s="16"/>
      <c r="AA19" s="16"/>
      <c r="AB19" s="17"/>
    </row>
    <row r="20" spans="1:28" ht="15.75" x14ac:dyDescent="0.25">
      <c r="A20" s="18"/>
      <c r="B20" s="12">
        <v>1.7751173929092574</v>
      </c>
      <c r="C20">
        <v>1.5898186273820343</v>
      </c>
      <c r="D20">
        <v>1.5722298305036753</v>
      </c>
      <c r="F20" s="24">
        <v>8</v>
      </c>
      <c r="H20" s="2">
        <v>7.5</v>
      </c>
      <c r="I20" s="3">
        <v>0</v>
      </c>
      <c r="J20" s="5">
        <v>1</v>
      </c>
      <c r="K20" s="5"/>
      <c r="L20" s="2">
        <v>7.5</v>
      </c>
      <c r="M20" s="3">
        <v>0</v>
      </c>
      <c r="N20" s="5">
        <v>1</v>
      </c>
      <c r="O20" s="5"/>
      <c r="P20" s="2">
        <v>7.5</v>
      </c>
      <c r="Q20" s="3">
        <v>0</v>
      </c>
      <c r="R20" s="5">
        <v>1</v>
      </c>
      <c r="S20" s="5"/>
      <c r="T20" s="14"/>
      <c r="U20" s="15"/>
      <c r="V20" s="16"/>
      <c r="W20" s="16"/>
      <c r="X20" s="14"/>
      <c r="Y20" s="15"/>
      <c r="Z20" s="16"/>
      <c r="AA20" s="16"/>
      <c r="AB20" s="17"/>
    </row>
    <row r="21" spans="1:28" ht="15.75" x14ac:dyDescent="0.25">
      <c r="A21" s="18"/>
      <c r="B21" s="12">
        <v>1.5685805233376349</v>
      </c>
      <c r="C21">
        <v>0.47670033624185565</v>
      </c>
      <c r="D21">
        <v>0.51141040344387467</v>
      </c>
      <c r="F21" s="24">
        <v>8.5</v>
      </c>
      <c r="H21" s="2">
        <v>8</v>
      </c>
      <c r="I21" s="3">
        <v>0</v>
      </c>
      <c r="J21" s="5">
        <v>1</v>
      </c>
      <c r="K21" s="5"/>
      <c r="L21" s="2">
        <v>8</v>
      </c>
      <c r="M21" s="3">
        <v>0</v>
      </c>
      <c r="N21" s="5">
        <v>1</v>
      </c>
      <c r="O21" s="5"/>
      <c r="P21" s="2">
        <v>8</v>
      </c>
      <c r="Q21" s="3">
        <v>0</v>
      </c>
      <c r="R21" s="5">
        <v>1</v>
      </c>
      <c r="S21" s="5"/>
      <c r="T21" s="14"/>
      <c r="U21" s="15"/>
      <c r="V21" s="16"/>
      <c r="W21" s="16"/>
      <c r="X21" s="14"/>
      <c r="Y21" s="15"/>
      <c r="Z21" s="16"/>
      <c r="AA21" s="16"/>
      <c r="AB21" s="17"/>
    </row>
    <row r="22" spans="1:28" ht="15.75" x14ac:dyDescent="0.25">
      <c r="A22" s="30"/>
      <c r="B22" s="31"/>
      <c r="C22" s="31"/>
      <c r="D22" s="32"/>
      <c r="F22" s="24"/>
      <c r="H22" s="2">
        <v>8.5</v>
      </c>
      <c r="I22" s="3">
        <v>0</v>
      </c>
      <c r="J22" s="5">
        <v>1</v>
      </c>
      <c r="K22" s="5"/>
      <c r="L22" s="2">
        <v>8.5</v>
      </c>
      <c r="M22" s="3">
        <v>0</v>
      </c>
      <c r="N22" s="5">
        <v>1</v>
      </c>
      <c r="O22" s="5"/>
      <c r="P22" s="2">
        <v>8.5</v>
      </c>
      <c r="Q22" s="3">
        <v>0</v>
      </c>
      <c r="R22" s="5">
        <v>1</v>
      </c>
      <c r="S22" s="5"/>
      <c r="T22" s="14"/>
      <c r="U22" s="15"/>
      <c r="V22" s="16"/>
      <c r="W22" s="16"/>
      <c r="X22" s="14"/>
      <c r="Y22" s="15"/>
      <c r="Z22" s="16"/>
      <c r="AA22" s="16"/>
      <c r="AB22" s="17"/>
    </row>
    <row r="23" spans="1:28" ht="16.5" thickBot="1" x14ac:dyDescent="0.3">
      <c r="A23" s="19" t="s">
        <v>8</v>
      </c>
      <c r="B23" s="19">
        <f>MAX(B2:B21)</f>
        <v>3.1649290669299401</v>
      </c>
      <c r="C23" s="19">
        <f t="shared" ref="C23:D23" si="0">MAX(C2:C21)</f>
        <v>2.8122765486653356</v>
      </c>
      <c r="D23" s="19">
        <f t="shared" si="0"/>
        <v>1.5722298305036753</v>
      </c>
      <c r="F23" s="24"/>
      <c r="H23" s="4" t="s">
        <v>16</v>
      </c>
      <c r="I23" s="4">
        <v>0</v>
      </c>
      <c r="J23" s="6">
        <v>1</v>
      </c>
      <c r="K23" s="5"/>
      <c r="L23" s="4" t="s">
        <v>16</v>
      </c>
      <c r="M23" s="4">
        <v>0</v>
      </c>
      <c r="N23" s="6">
        <v>1</v>
      </c>
      <c r="O23" s="5"/>
      <c r="P23" s="4" t="s">
        <v>16</v>
      </c>
      <c r="Q23" s="4">
        <v>0</v>
      </c>
      <c r="R23" s="6">
        <v>1</v>
      </c>
      <c r="S23" s="5"/>
      <c r="T23" s="14"/>
      <c r="U23" s="15"/>
      <c r="V23" s="16"/>
      <c r="W23" s="16"/>
      <c r="X23" s="14"/>
      <c r="Y23" s="15"/>
      <c r="Z23" s="16"/>
      <c r="AA23" s="16"/>
      <c r="AB23" s="17"/>
    </row>
    <row r="24" spans="1:28" ht="15.75" x14ac:dyDescent="0.25">
      <c r="A24" s="20" t="s">
        <v>7</v>
      </c>
      <c r="B24" s="19">
        <f>MIN(B2:B21)</f>
        <v>0.58337128231796576</v>
      </c>
      <c r="C24" s="19">
        <f t="shared" ref="C24:D24" si="1">MIN(C2:C21)</f>
        <v>-0.46576247430791423</v>
      </c>
      <c r="D24" s="19">
        <f t="shared" si="1"/>
        <v>0.33477176111902723</v>
      </c>
      <c r="F24" s="24"/>
      <c r="H24" s="14"/>
      <c r="I24" s="2"/>
      <c r="J24" s="3"/>
      <c r="K24" s="5"/>
      <c r="L24" s="14"/>
      <c r="M24" s="2"/>
      <c r="N24" s="3"/>
      <c r="O24" s="5"/>
      <c r="P24" s="14"/>
      <c r="Q24" s="2"/>
      <c r="R24" s="3"/>
      <c r="S24" s="5"/>
      <c r="T24" s="14"/>
      <c r="U24" s="15"/>
      <c r="V24" s="16"/>
      <c r="W24" s="16"/>
      <c r="X24" s="14"/>
      <c r="Y24" s="15"/>
      <c r="Z24" s="16"/>
      <c r="AA24" s="16"/>
      <c r="AB24" s="17"/>
    </row>
    <row r="25" spans="1:28" ht="15.75" x14ac:dyDescent="0.25">
      <c r="F25" s="24"/>
      <c r="H25" s="14"/>
      <c r="I25" s="2"/>
      <c r="J25" s="3"/>
      <c r="K25" s="5"/>
      <c r="L25" s="14"/>
      <c r="M25" s="2"/>
      <c r="N25" s="3"/>
      <c r="O25" s="5"/>
      <c r="P25" s="14"/>
      <c r="Q25" s="2"/>
      <c r="R25" s="3"/>
      <c r="S25" s="5"/>
      <c r="T25" s="14"/>
      <c r="U25" s="15"/>
      <c r="V25" s="16"/>
      <c r="W25" s="16"/>
      <c r="X25" s="14"/>
      <c r="Y25" s="15"/>
      <c r="Z25" s="16"/>
      <c r="AA25" s="16"/>
      <c r="AB25" s="17"/>
    </row>
    <row r="26" spans="1:28" ht="15.75" x14ac:dyDescent="0.25">
      <c r="F26" s="24"/>
      <c r="H26" s="14"/>
      <c r="I26" s="2"/>
      <c r="J26" s="3"/>
      <c r="K26" s="5"/>
      <c r="L26" s="14"/>
      <c r="M26" s="2"/>
      <c r="N26" s="3"/>
      <c r="O26" s="5"/>
      <c r="P26" s="14"/>
      <c r="Q26" s="2"/>
      <c r="R26" s="3"/>
      <c r="S26" s="5"/>
      <c r="T26" s="14"/>
      <c r="U26" s="15"/>
      <c r="V26" s="16"/>
      <c r="W26" s="16"/>
      <c r="X26" s="14"/>
      <c r="Y26" s="15"/>
      <c r="Z26" s="16"/>
      <c r="AA26" s="16"/>
      <c r="AB26" s="17"/>
    </row>
    <row r="27" spans="1:28" ht="15.75" x14ac:dyDescent="0.25">
      <c r="F27" s="24"/>
      <c r="H27" s="14"/>
      <c r="I27" s="2"/>
      <c r="J27" s="3"/>
      <c r="K27" s="5"/>
      <c r="L27" s="14"/>
      <c r="M27" s="2"/>
      <c r="N27" s="3"/>
      <c r="O27" s="5"/>
      <c r="P27" s="14"/>
      <c r="Q27" s="2"/>
      <c r="R27" s="3"/>
      <c r="S27" s="5"/>
      <c r="T27" s="14"/>
      <c r="U27" s="15"/>
      <c r="V27" s="16"/>
      <c r="W27" s="16"/>
      <c r="X27" s="14"/>
      <c r="Y27" s="15"/>
      <c r="Z27" s="16"/>
      <c r="AA27" s="16"/>
      <c r="AB27" s="17"/>
    </row>
    <row r="28" spans="1:28" ht="15.75" x14ac:dyDescent="0.25">
      <c r="F28" s="24"/>
      <c r="H28" s="14"/>
      <c r="I28" s="2"/>
      <c r="J28" s="3"/>
      <c r="K28" s="5"/>
      <c r="L28" s="14"/>
      <c r="M28" s="2"/>
      <c r="N28" s="3"/>
      <c r="O28" s="5"/>
      <c r="P28" s="14"/>
      <c r="Q28" s="2"/>
      <c r="R28" s="3"/>
      <c r="S28" s="5"/>
      <c r="T28" s="14"/>
      <c r="U28" s="15"/>
      <c r="V28" s="16"/>
      <c r="W28" s="16"/>
      <c r="X28" s="14"/>
      <c r="Y28" s="15"/>
      <c r="Z28" s="16"/>
      <c r="AA28" s="16"/>
      <c r="AB28" s="17"/>
    </row>
    <row r="29" spans="1:28" ht="15.75" x14ac:dyDescent="0.25">
      <c r="F29" s="24"/>
      <c r="H29" s="14"/>
      <c r="I29" s="2"/>
      <c r="J29" s="3"/>
      <c r="K29" s="5"/>
      <c r="L29" s="14"/>
      <c r="M29" s="2"/>
      <c r="N29" s="3"/>
      <c r="O29" s="5"/>
      <c r="P29" s="14"/>
      <c r="Q29" s="2"/>
      <c r="R29" s="3"/>
      <c r="S29" s="5"/>
      <c r="T29" s="14"/>
      <c r="U29" s="15"/>
      <c r="V29" s="16"/>
      <c r="W29" s="16"/>
      <c r="X29" s="14"/>
      <c r="Y29" s="15"/>
      <c r="Z29" s="16"/>
      <c r="AA29" s="16"/>
      <c r="AB29" s="17"/>
    </row>
    <row r="30" spans="1:28" ht="15.75" x14ac:dyDescent="0.25">
      <c r="F30" s="24"/>
      <c r="H30" s="14"/>
      <c r="I30" s="2"/>
      <c r="J30" s="3"/>
      <c r="K30" s="5"/>
      <c r="L30" s="14"/>
      <c r="M30" s="2"/>
      <c r="N30" s="3"/>
      <c r="O30" s="5"/>
      <c r="P30" s="14"/>
      <c r="Q30" s="2"/>
      <c r="R30" s="3"/>
      <c r="S30" s="5"/>
      <c r="T30" s="14"/>
      <c r="U30" s="15"/>
      <c r="V30" s="16"/>
      <c r="W30" s="16"/>
      <c r="X30" s="14"/>
      <c r="Y30" s="15"/>
      <c r="Z30" s="16"/>
      <c r="AA30" s="16"/>
      <c r="AB30" s="17"/>
    </row>
    <row r="31" spans="1:28" ht="15.75" x14ac:dyDescent="0.25">
      <c r="F31" s="24"/>
      <c r="H31" s="14"/>
      <c r="I31" s="2"/>
      <c r="J31" s="3"/>
      <c r="K31" s="5"/>
      <c r="L31" s="14"/>
      <c r="M31" s="2"/>
      <c r="N31" s="3"/>
      <c r="O31" s="5"/>
      <c r="P31" s="14"/>
      <c r="Q31" s="2"/>
      <c r="R31" s="3"/>
      <c r="S31" s="5"/>
      <c r="T31" s="14"/>
      <c r="U31" s="15"/>
      <c r="V31" s="16"/>
      <c r="W31" s="16"/>
      <c r="X31" s="14"/>
      <c r="Y31" s="15"/>
      <c r="Z31" s="16"/>
      <c r="AA31" s="16"/>
      <c r="AB31" s="17"/>
    </row>
    <row r="32" spans="1:28" ht="15.75" x14ac:dyDescent="0.25">
      <c r="F32" s="24"/>
      <c r="H32" s="14"/>
      <c r="I32" s="2"/>
      <c r="J32" s="3"/>
      <c r="K32" s="5"/>
      <c r="L32" s="14"/>
      <c r="M32" s="2"/>
      <c r="N32" s="3"/>
      <c r="O32" s="5"/>
      <c r="P32" s="14"/>
      <c r="Q32" s="2"/>
      <c r="R32" s="3"/>
      <c r="S32" s="5"/>
      <c r="T32" s="14"/>
      <c r="U32" s="15"/>
      <c r="V32" s="16"/>
      <c r="W32" s="16"/>
      <c r="X32" s="14"/>
      <c r="Y32" s="15"/>
      <c r="Z32" s="16"/>
      <c r="AA32" s="16"/>
      <c r="AB32" s="17"/>
    </row>
    <row r="33" spans="6:28" ht="15.75" x14ac:dyDescent="0.25">
      <c r="F33" s="24"/>
      <c r="H33" s="14"/>
      <c r="I33" s="2"/>
      <c r="J33" s="3"/>
      <c r="K33" s="5"/>
      <c r="L33" s="14"/>
      <c r="M33" s="2"/>
      <c r="N33" s="3"/>
      <c r="O33" s="5"/>
      <c r="P33" s="14"/>
      <c r="Q33" s="2"/>
      <c r="R33" s="3"/>
      <c r="S33" s="5"/>
      <c r="T33" s="14"/>
      <c r="U33" s="15"/>
      <c r="V33" s="16"/>
      <c r="W33" s="16"/>
      <c r="X33" s="14"/>
      <c r="Y33" s="15"/>
      <c r="Z33" s="16"/>
      <c r="AA33" s="16"/>
      <c r="AB33" s="17"/>
    </row>
    <row r="34" spans="6:28" ht="15.75" x14ac:dyDescent="0.25">
      <c r="F34" s="24"/>
      <c r="H34" s="14"/>
      <c r="I34" s="2"/>
      <c r="J34" s="3"/>
      <c r="K34" s="5"/>
      <c r="L34" s="14"/>
      <c r="M34" s="2"/>
      <c r="N34" s="3"/>
      <c r="O34" s="5"/>
      <c r="P34" s="14"/>
      <c r="Q34" s="2"/>
      <c r="R34" s="3"/>
      <c r="S34" s="5"/>
      <c r="T34" s="14"/>
      <c r="U34" s="15"/>
      <c r="V34" s="16"/>
      <c r="W34" s="16"/>
      <c r="X34" s="14"/>
      <c r="Y34" s="15"/>
      <c r="Z34" s="16"/>
      <c r="AA34" s="16"/>
      <c r="AB34" s="17"/>
    </row>
    <row r="35" spans="6:28" ht="15.75" x14ac:dyDescent="0.25">
      <c r="F35" s="24"/>
      <c r="H35" s="14"/>
      <c r="I35" s="2"/>
      <c r="J35" s="3"/>
      <c r="K35" s="5"/>
      <c r="L35" s="14"/>
      <c r="M35" s="2"/>
      <c r="N35" s="3"/>
      <c r="O35" s="5"/>
      <c r="P35" s="14"/>
      <c r="Q35" s="2"/>
      <c r="R35" s="3"/>
      <c r="S35" s="5"/>
      <c r="T35" s="14"/>
      <c r="U35" s="15"/>
      <c r="V35" s="16"/>
      <c r="W35" s="16"/>
      <c r="X35" s="14"/>
      <c r="Y35" s="15"/>
      <c r="Z35" s="16"/>
      <c r="AA35" s="16"/>
      <c r="AB35" s="17"/>
    </row>
    <row r="36" spans="6:28" ht="15.75" x14ac:dyDescent="0.25">
      <c r="F36" s="24"/>
      <c r="H36" s="14"/>
      <c r="I36" s="2"/>
      <c r="J36" s="3"/>
      <c r="K36" s="5"/>
      <c r="L36" s="14"/>
      <c r="M36" s="2"/>
      <c r="N36" s="3"/>
      <c r="O36" s="5"/>
      <c r="P36" s="14"/>
      <c r="Q36" s="2"/>
      <c r="R36" s="3"/>
      <c r="S36" s="5"/>
      <c r="T36" s="14"/>
      <c r="U36" s="15"/>
      <c r="V36" s="16"/>
      <c r="W36" s="16"/>
      <c r="X36" s="14"/>
      <c r="Y36" s="15"/>
      <c r="Z36" s="16"/>
      <c r="AA36" s="16"/>
      <c r="AB36" s="17"/>
    </row>
    <row r="37" spans="6:28" ht="15.75" x14ac:dyDescent="0.25">
      <c r="F37" s="24"/>
      <c r="H37" s="14"/>
      <c r="I37" s="2"/>
      <c r="J37" s="3"/>
      <c r="K37" s="5"/>
      <c r="L37" s="14"/>
      <c r="M37" s="2"/>
      <c r="N37" s="3"/>
      <c r="O37" s="5"/>
      <c r="P37" s="14"/>
      <c r="Q37" s="2"/>
      <c r="R37" s="3"/>
      <c r="S37" s="5"/>
      <c r="T37" s="14"/>
      <c r="U37" s="15"/>
      <c r="V37" s="16"/>
      <c r="W37" s="16"/>
      <c r="X37" s="14"/>
      <c r="Y37" s="15"/>
      <c r="Z37" s="16"/>
      <c r="AA37" s="16"/>
      <c r="AB37" s="17"/>
    </row>
    <row r="38" spans="6:28" x14ac:dyDescent="0.25">
      <c r="H38" s="14"/>
      <c r="I38" s="2"/>
      <c r="J38" s="3"/>
      <c r="K38" s="5"/>
      <c r="L38" s="14"/>
      <c r="M38" s="2"/>
      <c r="N38" s="3"/>
      <c r="O38" s="5"/>
      <c r="P38" s="14"/>
      <c r="Q38" s="2"/>
      <c r="R38" s="3"/>
      <c r="S38" s="5"/>
      <c r="T38" s="14"/>
      <c r="U38" s="15"/>
      <c r="V38" s="16"/>
      <c r="W38" s="16"/>
      <c r="X38" s="14"/>
      <c r="Y38" s="15"/>
      <c r="Z38" s="16"/>
      <c r="AA38" s="16"/>
      <c r="AB38" s="17"/>
    </row>
    <row r="39" spans="6:28" x14ac:dyDescent="0.25">
      <c r="H39" s="14"/>
      <c r="I39" s="3"/>
      <c r="J39" s="3"/>
      <c r="K39" s="5"/>
      <c r="L39" s="14"/>
      <c r="M39" s="3"/>
      <c r="N39" s="3"/>
      <c r="O39" s="5"/>
      <c r="P39" s="14"/>
      <c r="Q39" s="3"/>
      <c r="R39" s="3"/>
      <c r="S39" s="5"/>
      <c r="T39" s="14"/>
      <c r="U39" s="15"/>
      <c r="V39" s="16"/>
      <c r="W39" s="16"/>
      <c r="X39" s="14"/>
      <c r="Y39" s="15"/>
      <c r="Z39" s="16"/>
      <c r="AA39" s="16"/>
      <c r="AB39" s="17"/>
    </row>
    <row r="40" spans="6:28" x14ac:dyDescent="0.25">
      <c r="H40" s="14"/>
      <c r="I40" s="14"/>
      <c r="J40" s="15"/>
      <c r="K40" s="16"/>
      <c r="L40" s="14"/>
      <c r="M40" s="14"/>
      <c r="N40" s="14"/>
      <c r="O40" s="14"/>
      <c r="P40" s="14"/>
      <c r="Q40" s="14"/>
      <c r="R40" s="14"/>
      <c r="S40" s="14"/>
      <c r="T40" s="14"/>
      <c r="U40" s="15"/>
      <c r="V40" s="16"/>
      <c r="W40" s="16"/>
      <c r="X40" s="14"/>
      <c r="Y40" s="15"/>
      <c r="Z40" s="16"/>
      <c r="AA40" s="16"/>
      <c r="AB40" s="17"/>
    </row>
    <row r="41" spans="6:28" x14ac:dyDescent="0.25">
      <c r="H41" s="14"/>
      <c r="I41" s="14"/>
      <c r="J41" s="15"/>
      <c r="K41" s="16"/>
      <c r="L41" s="14"/>
      <c r="M41" s="14"/>
      <c r="N41" s="14"/>
      <c r="O41" s="14"/>
      <c r="P41" s="14"/>
      <c r="Q41" s="14"/>
      <c r="R41" s="14"/>
      <c r="S41" s="14"/>
      <c r="T41" s="14"/>
      <c r="U41" s="15"/>
      <c r="V41" s="16"/>
      <c r="W41" s="16"/>
      <c r="X41" s="14"/>
      <c r="Y41" s="15"/>
      <c r="Z41" s="16"/>
      <c r="AA41" s="16"/>
      <c r="AB41" s="17"/>
    </row>
    <row r="42" spans="6:28" x14ac:dyDescent="0.25">
      <c r="H42" s="14"/>
      <c r="I42" s="14"/>
      <c r="J42" s="15"/>
      <c r="K42" s="16"/>
      <c r="L42" s="14"/>
      <c r="M42" s="14"/>
      <c r="N42" s="14"/>
      <c r="O42" s="14"/>
      <c r="P42" s="14"/>
      <c r="Q42" s="14"/>
      <c r="R42" s="14"/>
      <c r="S42" s="14"/>
      <c r="T42" s="14"/>
      <c r="U42" s="15"/>
      <c r="V42" s="16"/>
      <c r="W42" s="16"/>
      <c r="X42" s="14"/>
      <c r="Y42" s="15"/>
      <c r="Z42" s="16"/>
      <c r="AA42" s="16"/>
      <c r="AB42" s="17"/>
    </row>
    <row r="43" spans="6:28" x14ac:dyDescent="0.25">
      <c r="H43" s="14"/>
      <c r="I43" s="14"/>
      <c r="J43" s="15"/>
      <c r="K43" s="16"/>
      <c r="L43" s="14"/>
      <c r="M43" s="14"/>
      <c r="N43" s="14"/>
      <c r="O43" s="14"/>
      <c r="P43" s="14"/>
      <c r="Q43" s="14"/>
      <c r="R43" s="14"/>
      <c r="S43" s="14"/>
      <c r="T43" s="14"/>
      <c r="U43" s="15"/>
      <c r="V43" s="16"/>
      <c r="W43" s="16"/>
      <c r="X43" s="14"/>
      <c r="Y43" s="15"/>
      <c r="Z43" s="16"/>
      <c r="AA43" s="16"/>
      <c r="AB43" s="17"/>
    </row>
    <row r="44" spans="6:28" x14ac:dyDescent="0.25">
      <c r="H44" s="14"/>
      <c r="I44" s="14"/>
      <c r="J44" s="15"/>
      <c r="K44" s="16"/>
      <c r="L44" s="14"/>
      <c r="M44" s="14"/>
      <c r="N44" s="14"/>
      <c r="O44" s="14"/>
      <c r="P44" s="14"/>
      <c r="Q44" s="14"/>
      <c r="R44" s="14"/>
      <c r="S44" s="14"/>
      <c r="T44" s="14"/>
      <c r="U44" s="15"/>
      <c r="V44" s="16"/>
      <c r="W44" s="16"/>
      <c r="X44" s="14"/>
      <c r="Y44" s="15"/>
      <c r="Z44" s="16"/>
      <c r="AA44" s="16"/>
      <c r="AB44" s="17"/>
    </row>
    <row r="45" spans="6:28" x14ac:dyDescent="0.25">
      <c r="H45" s="14"/>
      <c r="I45" s="14"/>
      <c r="J45" s="15"/>
      <c r="K45" s="16"/>
      <c r="L45" s="14"/>
      <c r="M45" s="14"/>
      <c r="N45" s="14"/>
      <c r="O45" s="14"/>
      <c r="P45" s="14"/>
      <c r="Q45" s="14"/>
      <c r="R45" s="14"/>
      <c r="S45" s="14"/>
      <c r="T45" s="14"/>
      <c r="U45" s="15"/>
      <c r="V45" s="16"/>
      <c r="W45" s="16"/>
      <c r="X45" s="14"/>
      <c r="Y45" s="15"/>
      <c r="Z45" s="16"/>
      <c r="AA45" s="16"/>
      <c r="AB45" s="17"/>
    </row>
    <row r="46" spans="6:28" x14ac:dyDescent="0.25">
      <c r="H46" s="14"/>
      <c r="I46" s="14"/>
      <c r="J46" s="15"/>
      <c r="K46" s="16"/>
      <c r="L46" s="14"/>
      <c r="M46" s="14"/>
      <c r="N46" s="14"/>
      <c r="O46" s="14"/>
      <c r="P46" s="14"/>
      <c r="Q46" s="14"/>
      <c r="R46" s="14"/>
      <c r="S46" s="14"/>
      <c r="T46" s="14"/>
      <c r="U46" s="15"/>
      <c r="V46" s="16"/>
      <c r="W46" s="16"/>
      <c r="X46" s="14"/>
      <c r="Y46" s="15"/>
      <c r="Z46" s="16"/>
      <c r="AA46" s="16"/>
      <c r="AB46" s="17"/>
    </row>
    <row r="47" spans="6:28" x14ac:dyDescent="0.25">
      <c r="H47" s="14"/>
      <c r="I47" s="14"/>
      <c r="J47" s="15"/>
      <c r="K47" s="16"/>
      <c r="L47" s="14"/>
      <c r="M47" s="14"/>
      <c r="N47" s="14"/>
      <c r="O47" s="14"/>
      <c r="P47" s="14"/>
      <c r="Q47" s="14"/>
      <c r="R47" s="14"/>
      <c r="S47" s="14"/>
      <c r="T47" s="14"/>
      <c r="U47" s="15"/>
      <c r="V47" s="16"/>
      <c r="W47" s="16"/>
      <c r="X47" s="14"/>
      <c r="Y47" s="15"/>
      <c r="Z47" s="16"/>
      <c r="AA47" s="16"/>
      <c r="AB47" s="17"/>
    </row>
    <row r="48" spans="6:28" x14ac:dyDescent="0.25">
      <c r="H48" s="14"/>
      <c r="I48" s="14"/>
      <c r="J48" s="15"/>
      <c r="K48" s="16"/>
      <c r="L48" s="14"/>
      <c r="M48" s="14"/>
      <c r="N48" s="14"/>
      <c r="O48" s="14"/>
      <c r="P48" s="14"/>
      <c r="Q48" s="14"/>
      <c r="R48" s="14"/>
      <c r="S48" s="14"/>
      <c r="T48" s="14"/>
      <c r="U48" s="15"/>
      <c r="V48" s="16"/>
      <c r="W48" s="16"/>
      <c r="X48" s="14"/>
      <c r="Y48" s="15"/>
      <c r="Z48" s="16"/>
      <c r="AA48" s="16"/>
      <c r="AB48" s="17"/>
    </row>
    <row r="49" spans="8:28" x14ac:dyDescent="0.25">
      <c r="H49" s="14"/>
      <c r="I49" s="14"/>
      <c r="J49" s="15"/>
      <c r="K49" s="16"/>
      <c r="L49" s="14"/>
      <c r="M49" s="14"/>
      <c r="N49" s="14"/>
      <c r="O49" s="14"/>
      <c r="P49" s="14"/>
      <c r="Q49" s="14"/>
      <c r="R49" s="14"/>
      <c r="S49" s="14"/>
      <c r="T49" s="14"/>
      <c r="U49" s="15"/>
      <c r="V49" s="16"/>
      <c r="W49" s="16"/>
      <c r="X49" s="14"/>
      <c r="Y49" s="15"/>
      <c r="Z49" s="16"/>
      <c r="AA49" s="16"/>
      <c r="AB49" s="17"/>
    </row>
    <row r="50" spans="8:28" x14ac:dyDescent="0.25">
      <c r="H50" s="14"/>
      <c r="I50" s="14"/>
      <c r="J50" s="15"/>
      <c r="K50" s="16"/>
      <c r="L50" s="14"/>
      <c r="M50" s="14"/>
      <c r="N50" s="14"/>
      <c r="O50" s="14"/>
      <c r="P50" s="14"/>
      <c r="Q50" s="14"/>
      <c r="R50" s="14"/>
      <c r="S50" s="14"/>
      <c r="T50" s="14"/>
      <c r="U50" s="15"/>
      <c r="V50" s="16"/>
      <c r="W50" s="16"/>
      <c r="X50" s="14"/>
      <c r="Y50" s="15"/>
      <c r="Z50" s="16"/>
      <c r="AA50" s="16"/>
      <c r="AB50" s="17"/>
    </row>
    <row r="51" spans="8:28" x14ac:dyDescent="0.25">
      <c r="H51" s="14"/>
      <c r="I51" s="14"/>
      <c r="J51" s="15"/>
      <c r="K51" s="16"/>
      <c r="L51" s="14"/>
      <c r="M51" s="14"/>
      <c r="N51" s="14"/>
      <c r="O51" s="14"/>
      <c r="P51" s="14"/>
      <c r="Q51" s="14"/>
      <c r="R51" s="14"/>
      <c r="S51" s="14"/>
      <c r="T51" s="14"/>
      <c r="U51" s="15"/>
      <c r="V51" s="16"/>
      <c r="W51" s="16"/>
      <c r="X51" s="14"/>
      <c r="Y51" s="15"/>
      <c r="Z51" s="16"/>
      <c r="AA51" s="16"/>
      <c r="AB51" s="17"/>
    </row>
    <row r="52" spans="8:28" x14ac:dyDescent="0.25">
      <c r="H52" s="14"/>
      <c r="I52" s="14"/>
      <c r="J52" s="15"/>
      <c r="K52" s="16"/>
      <c r="L52" s="14"/>
      <c r="M52" s="14"/>
      <c r="N52" s="14"/>
      <c r="O52" s="14"/>
      <c r="P52" s="14"/>
      <c r="Q52" s="14"/>
      <c r="R52" s="14"/>
      <c r="S52" s="14"/>
      <c r="T52" s="14"/>
      <c r="U52" s="15"/>
      <c r="V52" s="16"/>
      <c r="W52" s="16"/>
      <c r="X52" s="14"/>
      <c r="Y52" s="15"/>
      <c r="Z52" s="16"/>
      <c r="AA52" s="16"/>
      <c r="AB52" s="17"/>
    </row>
    <row r="53" spans="8:28" x14ac:dyDescent="0.25">
      <c r="H53" s="14"/>
      <c r="I53" s="14"/>
      <c r="J53" s="15"/>
      <c r="K53" s="16"/>
      <c r="L53" s="14"/>
      <c r="M53" s="14"/>
      <c r="N53" s="14"/>
      <c r="O53" s="14"/>
      <c r="P53" s="14"/>
      <c r="Q53" s="14"/>
      <c r="R53" s="14"/>
      <c r="S53" s="14"/>
      <c r="T53" s="14"/>
      <c r="U53" s="15"/>
      <c r="V53" s="16"/>
      <c r="W53" s="16"/>
      <c r="X53" s="14"/>
      <c r="Y53" s="15"/>
      <c r="Z53" s="16"/>
      <c r="AA53" s="16"/>
      <c r="AB53" s="17"/>
    </row>
    <row r="54" spans="8:28" x14ac:dyDescent="0.25">
      <c r="H54" s="14"/>
      <c r="I54" s="14"/>
      <c r="J54" s="15"/>
      <c r="K54" s="16"/>
      <c r="L54" s="14"/>
      <c r="M54" s="14"/>
      <c r="N54" s="14"/>
      <c r="O54" s="14"/>
      <c r="P54" s="14"/>
      <c r="Q54" s="14"/>
      <c r="R54" s="14"/>
      <c r="S54" s="14"/>
      <c r="T54" s="14"/>
      <c r="U54" s="15"/>
      <c r="V54" s="16"/>
      <c r="W54" s="16"/>
      <c r="X54" s="14"/>
      <c r="Y54" s="15"/>
      <c r="Z54" s="16"/>
      <c r="AA54" s="16"/>
      <c r="AB54" s="17"/>
    </row>
    <row r="55" spans="8:28" x14ac:dyDescent="0.25">
      <c r="H55" s="14"/>
      <c r="I55" s="14"/>
      <c r="J55" s="15"/>
      <c r="K55" s="16"/>
      <c r="L55" s="14"/>
      <c r="M55" s="14"/>
      <c r="N55" s="14"/>
      <c r="O55" s="14"/>
      <c r="P55" s="14"/>
      <c r="Q55" s="14"/>
      <c r="R55" s="14"/>
      <c r="S55" s="14"/>
      <c r="T55" s="14"/>
      <c r="U55" s="15"/>
      <c r="V55" s="16"/>
      <c r="W55" s="16"/>
      <c r="X55" s="14"/>
      <c r="Y55" s="15"/>
      <c r="Z55" s="16"/>
      <c r="AA55" s="16"/>
      <c r="AB55" s="17"/>
    </row>
    <row r="56" spans="8:28" x14ac:dyDescent="0.25">
      <c r="H56" s="14"/>
      <c r="I56" s="14"/>
      <c r="J56" s="15"/>
      <c r="K56" s="16"/>
      <c r="L56" s="14"/>
      <c r="M56" s="14"/>
      <c r="N56" s="14"/>
      <c r="O56" s="14"/>
      <c r="P56" s="14"/>
      <c r="Q56" s="14"/>
      <c r="R56" s="14"/>
      <c r="S56" s="14"/>
      <c r="T56" s="14"/>
      <c r="U56" s="15"/>
      <c r="V56" s="16"/>
      <c r="W56" s="16"/>
      <c r="X56" s="14"/>
      <c r="Y56" s="15"/>
      <c r="Z56" s="16"/>
      <c r="AA56" s="16"/>
      <c r="AB56" s="17"/>
    </row>
    <row r="57" spans="8:28" x14ac:dyDescent="0.25">
      <c r="H57" s="14"/>
      <c r="I57" s="14"/>
      <c r="J57" s="15"/>
      <c r="K57" s="16"/>
      <c r="L57" s="14"/>
      <c r="M57" s="14"/>
      <c r="N57" s="14"/>
      <c r="O57" s="14"/>
      <c r="P57" s="14"/>
      <c r="Q57" s="14"/>
      <c r="R57" s="14"/>
      <c r="S57" s="14"/>
      <c r="T57" s="14"/>
      <c r="U57" s="15"/>
      <c r="V57" s="16"/>
      <c r="W57" s="16"/>
      <c r="X57" s="14"/>
      <c r="Y57" s="15"/>
      <c r="Z57" s="16"/>
      <c r="AA57" s="16"/>
      <c r="AB57" s="17"/>
    </row>
    <row r="58" spans="8:28" x14ac:dyDescent="0.25">
      <c r="H58" s="14"/>
      <c r="I58" s="14"/>
      <c r="J58" s="15"/>
      <c r="K58" s="16"/>
      <c r="L58" s="14"/>
      <c r="M58" s="14"/>
      <c r="N58" s="14"/>
      <c r="O58" s="14"/>
      <c r="P58" s="14"/>
      <c r="Q58" s="14"/>
      <c r="R58" s="14"/>
      <c r="S58" s="14"/>
      <c r="T58" s="14"/>
      <c r="U58" s="15"/>
      <c r="V58" s="16"/>
      <c r="W58" s="16"/>
      <c r="X58" s="14"/>
      <c r="Y58" s="15"/>
      <c r="Z58" s="16"/>
      <c r="AA58" s="16"/>
      <c r="AB58" s="17"/>
    </row>
    <row r="59" spans="8:28" x14ac:dyDescent="0.25">
      <c r="H59" s="14"/>
      <c r="I59" s="14"/>
      <c r="J59" s="15"/>
      <c r="K59" s="16"/>
      <c r="L59" s="14"/>
      <c r="M59" s="14"/>
      <c r="N59" s="14"/>
      <c r="O59" s="14"/>
      <c r="P59" s="14"/>
      <c r="Q59" s="14"/>
      <c r="R59" s="14"/>
      <c r="S59" s="14"/>
      <c r="T59" s="14"/>
      <c r="U59" s="15"/>
      <c r="V59" s="16"/>
      <c r="W59" s="16"/>
      <c r="X59" s="14"/>
      <c r="Y59" s="15"/>
      <c r="Z59" s="16"/>
      <c r="AA59" s="16"/>
      <c r="AB59" s="17"/>
    </row>
    <row r="60" spans="8:28" x14ac:dyDescent="0.25">
      <c r="H60" s="14"/>
      <c r="I60" s="14"/>
      <c r="J60" s="15"/>
      <c r="K60" s="16"/>
      <c r="L60" s="14"/>
      <c r="M60" s="14"/>
      <c r="N60" s="14"/>
      <c r="O60" s="14"/>
      <c r="P60" s="14"/>
      <c r="Q60" s="14"/>
      <c r="R60" s="14"/>
      <c r="S60" s="14"/>
      <c r="T60" s="14"/>
      <c r="U60" s="15"/>
      <c r="V60" s="16"/>
      <c r="W60" s="16"/>
      <c r="X60" s="14"/>
      <c r="Y60" s="15"/>
      <c r="Z60" s="16"/>
      <c r="AA60" s="16"/>
      <c r="AB60" s="17"/>
    </row>
    <row r="61" spans="8:28" x14ac:dyDescent="0.25">
      <c r="H61" s="14"/>
      <c r="I61" s="14"/>
      <c r="J61" s="15"/>
      <c r="K61" s="16"/>
      <c r="L61" s="14"/>
      <c r="M61" s="14"/>
      <c r="N61" s="14"/>
      <c r="O61" s="14"/>
      <c r="P61" s="14"/>
      <c r="Q61" s="14"/>
      <c r="R61" s="14"/>
      <c r="S61" s="14"/>
      <c r="T61" s="14"/>
      <c r="U61" s="15"/>
      <c r="V61" s="16"/>
      <c r="W61" s="16"/>
      <c r="X61" s="14"/>
      <c r="Y61" s="15"/>
      <c r="Z61" s="16"/>
      <c r="AA61" s="16"/>
      <c r="AB61" s="17"/>
    </row>
    <row r="62" spans="8:28" x14ac:dyDescent="0.25">
      <c r="H62" s="14"/>
      <c r="I62" s="14"/>
      <c r="J62" s="15"/>
      <c r="K62" s="16"/>
      <c r="L62" s="14"/>
      <c r="M62" s="14"/>
      <c r="N62" s="14"/>
      <c r="O62" s="14"/>
      <c r="P62" s="14"/>
      <c r="Q62" s="14"/>
      <c r="R62" s="14"/>
      <c r="S62" s="14"/>
      <c r="T62" s="14"/>
      <c r="U62" s="15"/>
      <c r="V62" s="16"/>
      <c r="W62" s="16"/>
      <c r="X62" s="14"/>
      <c r="Y62" s="15"/>
      <c r="Z62" s="16"/>
      <c r="AA62" s="16"/>
      <c r="AB62" s="17"/>
    </row>
    <row r="63" spans="8:28" x14ac:dyDescent="0.25">
      <c r="H63" s="14"/>
      <c r="I63" s="14"/>
      <c r="J63" s="15"/>
      <c r="K63" s="16"/>
      <c r="L63" s="14"/>
      <c r="M63" s="14"/>
      <c r="N63" s="14"/>
      <c r="O63" s="14"/>
      <c r="P63" s="14"/>
      <c r="Q63" s="14"/>
      <c r="R63" s="14"/>
      <c r="S63" s="14"/>
      <c r="T63" s="14"/>
      <c r="U63" s="15"/>
      <c r="V63" s="16"/>
      <c r="W63" s="16"/>
      <c r="X63" s="14"/>
      <c r="Y63" s="15"/>
      <c r="Z63" s="16"/>
      <c r="AA63" s="16"/>
      <c r="AB63" s="17"/>
    </row>
    <row r="64" spans="8:28" x14ac:dyDescent="0.25">
      <c r="H64" s="14"/>
      <c r="I64" s="14"/>
      <c r="J64" s="15"/>
      <c r="K64" s="16"/>
      <c r="L64" s="14"/>
      <c r="M64" s="14"/>
      <c r="N64" s="14"/>
      <c r="O64" s="14"/>
      <c r="P64" s="14"/>
      <c r="Q64" s="14"/>
      <c r="R64" s="14"/>
      <c r="S64" s="14"/>
      <c r="T64" s="14"/>
      <c r="U64" s="15"/>
      <c r="V64" s="16"/>
      <c r="W64" s="16"/>
      <c r="X64" s="14"/>
      <c r="Y64" s="15"/>
      <c r="Z64" s="16"/>
      <c r="AA64" s="16"/>
      <c r="AB64" s="17"/>
    </row>
    <row r="65" spans="8:28" x14ac:dyDescent="0.25">
      <c r="H65" s="14"/>
      <c r="I65" s="14"/>
      <c r="J65" s="15"/>
      <c r="K65" s="16"/>
      <c r="L65" s="14"/>
      <c r="M65" s="14"/>
      <c r="N65" s="14"/>
      <c r="O65" s="14"/>
      <c r="P65" s="14"/>
      <c r="Q65" s="14"/>
      <c r="R65" s="14"/>
      <c r="S65" s="14"/>
      <c r="T65" s="14"/>
      <c r="U65" s="15"/>
      <c r="V65" s="16"/>
      <c r="W65" s="16"/>
      <c r="X65" s="14"/>
      <c r="Y65" s="15"/>
      <c r="Z65" s="16"/>
      <c r="AA65" s="16"/>
      <c r="AB65" s="17"/>
    </row>
    <row r="66" spans="8:28" x14ac:dyDescent="0.25">
      <c r="H66" s="14"/>
      <c r="I66" s="14"/>
      <c r="J66" s="15"/>
      <c r="K66" s="16"/>
      <c r="L66" s="14"/>
      <c r="M66" s="14"/>
      <c r="N66" s="14"/>
      <c r="O66" s="14"/>
      <c r="P66" s="14"/>
      <c r="Q66" s="14"/>
      <c r="R66" s="14"/>
      <c r="S66" s="14"/>
      <c r="T66" s="14"/>
      <c r="U66" s="15"/>
      <c r="V66" s="16"/>
      <c r="W66" s="16"/>
      <c r="X66" s="14"/>
      <c r="Y66" s="15"/>
      <c r="Z66" s="16"/>
      <c r="AA66" s="16"/>
      <c r="AB66" s="17"/>
    </row>
    <row r="67" spans="8:28" x14ac:dyDescent="0.25">
      <c r="H67" s="14"/>
      <c r="I67" s="14"/>
      <c r="J67" s="15"/>
      <c r="K67" s="16"/>
      <c r="L67" s="14"/>
      <c r="M67" s="14"/>
      <c r="N67" s="14"/>
      <c r="O67" s="14"/>
      <c r="P67" s="14"/>
      <c r="Q67" s="14"/>
      <c r="R67" s="14"/>
      <c r="S67" s="14"/>
      <c r="T67" s="14"/>
      <c r="U67" s="15"/>
      <c r="V67" s="16"/>
      <c r="W67" s="16"/>
      <c r="X67" s="14"/>
      <c r="Y67" s="15"/>
      <c r="Z67" s="16"/>
      <c r="AA67" s="16"/>
      <c r="AB67" s="17"/>
    </row>
    <row r="68" spans="8:28" x14ac:dyDescent="0.25">
      <c r="H68" s="14"/>
      <c r="I68" s="14"/>
      <c r="J68" s="15"/>
      <c r="K68" s="16"/>
      <c r="L68" s="14"/>
      <c r="M68" s="14"/>
      <c r="N68" s="14"/>
      <c r="O68" s="14"/>
      <c r="P68" s="14"/>
      <c r="Q68" s="14"/>
      <c r="R68" s="14"/>
      <c r="S68" s="14"/>
      <c r="T68" s="14"/>
      <c r="U68" s="15"/>
      <c r="V68" s="16"/>
      <c r="W68" s="16"/>
      <c r="X68" s="14"/>
      <c r="Y68" s="15"/>
      <c r="Z68" s="16"/>
      <c r="AA68" s="16"/>
      <c r="AB68" s="17"/>
    </row>
    <row r="69" spans="8:28" x14ac:dyDescent="0.25">
      <c r="H69" s="14"/>
      <c r="I69" s="14"/>
      <c r="J69" s="15"/>
      <c r="K69" s="16"/>
      <c r="L69" s="14"/>
      <c r="M69" s="14"/>
      <c r="N69" s="14"/>
      <c r="O69" s="14"/>
      <c r="P69" s="14"/>
      <c r="Q69" s="14"/>
      <c r="R69" s="14"/>
      <c r="S69" s="14"/>
      <c r="T69" s="14"/>
      <c r="U69" s="15"/>
      <c r="V69" s="16"/>
      <c r="W69" s="16"/>
      <c r="X69" s="14"/>
      <c r="Y69" s="15"/>
      <c r="Z69" s="16"/>
      <c r="AA69" s="16"/>
      <c r="AB69" s="17"/>
    </row>
    <row r="70" spans="8:28" x14ac:dyDescent="0.25">
      <c r="H70" s="14"/>
      <c r="I70" s="14"/>
      <c r="J70" s="15"/>
      <c r="K70" s="16"/>
      <c r="L70" s="14"/>
      <c r="M70" s="14"/>
      <c r="N70" s="14"/>
      <c r="O70" s="14"/>
      <c r="P70" s="14"/>
      <c r="Q70" s="14"/>
      <c r="R70" s="14"/>
      <c r="S70" s="14"/>
      <c r="T70" s="14"/>
      <c r="U70" s="15"/>
      <c r="V70" s="16"/>
      <c r="W70" s="16"/>
      <c r="X70" s="14"/>
      <c r="Y70" s="15"/>
      <c r="Z70" s="16"/>
      <c r="AA70" s="16"/>
      <c r="AB70" s="17"/>
    </row>
    <row r="71" spans="8:28" x14ac:dyDescent="0.25">
      <c r="H71" s="14"/>
      <c r="I71" s="14"/>
      <c r="J71" s="15"/>
      <c r="K71" s="16"/>
      <c r="L71" s="14"/>
      <c r="M71" s="14"/>
      <c r="N71" s="14"/>
      <c r="O71" s="14"/>
      <c r="P71" s="14"/>
      <c r="Q71" s="14"/>
      <c r="R71" s="14"/>
      <c r="S71" s="14"/>
      <c r="T71" s="14"/>
      <c r="U71" s="15"/>
      <c r="V71" s="16"/>
      <c r="W71" s="16"/>
      <c r="X71" s="14"/>
      <c r="Y71" s="15"/>
      <c r="Z71" s="16"/>
      <c r="AA71" s="16"/>
      <c r="AB71" s="17"/>
    </row>
    <row r="72" spans="8:28" x14ac:dyDescent="0.25">
      <c r="H72" s="14"/>
      <c r="I72" s="14"/>
      <c r="J72" s="15"/>
      <c r="K72" s="16"/>
      <c r="L72" s="14"/>
      <c r="M72" s="14"/>
      <c r="N72" s="14"/>
      <c r="O72" s="14"/>
      <c r="P72" s="14"/>
      <c r="Q72" s="14"/>
      <c r="R72" s="14"/>
      <c r="S72" s="14"/>
      <c r="T72" s="14"/>
      <c r="U72" s="15"/>
      <c r="V72" s="16"/>
      <c r="W72" s="16"/>
      <c r="X72" s="14"/>
      <c r="Y72" s="15"/>
      <c r="Z72" s="16"/>
      <c r="AA72" s="16"/>
      <c r="AB72" s="17"/>
    </row>
    <row r="73" spans="8:28" x14ac:dyDescent="0.25">
      <c r="H73" s="14"/>
      <c r="I73" s="14"/>
      <c r="J73" s="15"/>
      <c r="K73" s="16"/>
      <c r="L73" s="14"/>
      <c r="M73" s="14"/>
      <c r="N73" s="14"/>
      <c r="O73" s="14"/>
      <c r="P73" s="14"/>
      <c r="Q73" s="14"/>
      <c r="R73" s="14"/>
      <c r="S73" s="14"/>
      <c r="T73" s="14"/>
      <c r="U73" s="15"/>
      <c r="V73" s="16"/>
      <c r="W73" s="16"/>
      <c r="X73" s="14"/>
      <c r="Y73" s="15"/>
      <c r="Z73" s="16"/>
      <c r="AA73" s="16"/>
      <c r="AB73" s="17"/>
    </row>
    <row r="74" spans="8:28" x14ac:dyDescent="0.25">
      <c r="H74" s="15"/>
      <c r="I74" s="15"/>
      <c r="J74" s="15"/>
      <c r="K74" s="16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6"/>
      <c r="W74" s="16"/>
      <c r="X74" s="15"/>
      <c r="Y74" s="15"/>
      <c r="Z74" s="16"/>
      <c r="AA74" s="16"/>
      <c r="AB74" s="17"/>
    </row>
    <row r="75" spans="8:28" x14ac:dyDescent="0.25">
      <c r="H75" s="14"/>
      <c r="I75" s="15"/>
      <c r="J75" s="16"/>
      <c r="K75" s="16"/>
      <c r="L75" s="17"/>
      <c r="M75" s="17"/>
      <c r="N75" s="17"/>
      <c r="O75" s="17"/>
      <c r="P75" s="17"/>
      <c r="Q75" s="17"/>
      <c r="R75" s="17"/>
      <c r="S75" s="17"/>
      <c r="T75" s="14"/>
      <c r="U75" s="15"/>
      <c r="V75" s="16"/>
      <c r="W75" s="17"/>
      <c r="X75" s="14"/>
      <c r="Y75" s="15"/>
      <c r="Z75" s="16"/>
      <c r="AA75" s="17"/>
      <c r="AB75" s="17"/>
    </row>
    <row r="76" spans="8:28" x14ac:dyDescent="0.25">
      <c r="H76" s="14"/>
      <c r="I76" s="15"/>
      <c r="J76" s="16"/>
      <c r="K76" s="16"/>
      <c r="L76" s="17"/>
      <c r="M76" s="17"/>
      <c r="N76" s="17"/>
      <c r="O76" s="17"/>
      <c r="P76" s="17"/>
      <c r="Q76" s="17"/>
      <c r="R76" s="17"/>
      <c r="S76" s="17"/>
      <c r="T76" s="14"/>
      <c r="U76" s="15"/>
      <c r="V76" s="16"/>
      <c r="W76" s="17"/>
      <c r="X76" s="14"/>
      <c r="Y76" s="15"/>
      <c r="Z76" s="16"/>
      <c r="AA76" s="17"/>
      <c r="AB76" s="17"/>
    </row>
    <row r="77" spans="8:28" x14ac:dyDescent="0.25">
      <c r="H77" s="14"/>
      <c r="I77" s="15"/>
      <c r="J77" s="16"/>
      <c r="K77" s="16"/>
      <c r="L77" s="17"/>
      <c r="M77" s="17"/>
      <c r="N77" s="17"/>
      <c r="O77" s="17"/>
      <c r="P77" s="17"/>
      <c r="Q77" s="17"/>
      <c r="R77" s="17"/>
      <c r="S77" s="17"/>
      <c r="T77" s="14"/>
      <c r="U77" s="15"/>
      <c r="V77" s="16"/>
      <c r="W77" s="17"/>
      <c r="X77" s="14"/>
      <c r="Y77" s="15"/>
      <c r="Z77" s="16"/>
      <c r="AA77" s="17"/>
      <c r="AB77" s="17"/>
    </row>
    <row r="78" spans="8:28" x14ac:dyDescent="0.25">
      <c r="H78" s="14"/>
      <c r="I78" s="15"/>
      <c r="J78" s="16"/>
      <c r="K78" s="16"/>
      <c r="L78" s="17"/>
      <c r="M78" s="17"/>
      <c r="N78" s="17"/>
      <c r="O78" s="17"/>
      <c r="P78" s="17"/>
      <c r="Q78" s="17"/>
      <c r="R78" s="17"/>
      <c r="S78" s="17"/>
      <c r="T78" s="14"/>
      <c r="U78" s="15"/>
      <c r="V78" s="16"/>
      <c r="W78" s="17"/>
      <c r="X78" s="14"/>
      <c r="Y78" s="15"/>
      <c r="Z78" s="16"/>
      <c r="AA78" s="17"/>
      <c r="AB78" s="17"/>
    </row>
    <row r="79" spans="8:28" x14ac:dyDescent="0.25">
      <c r="H79" s="14"/>
      <c r="I79" s="15"/>
      <c r="J79" s="16"/>
      <c r="K79" s="16"/>
      <c r="L79" s="17"/>
      <c r="M79" s="17"/>
      <c r="N79" s="17"/>
      <c r="O79" s="17"/>
      <c r="P79" s="17"/>
      <c r="Q79" s="17"/>
      <c r="R79" s="17"/>
      <c r="S79" s="17"/>
      <c r="T79" s="14"/>
      <c r="U79" s="15"/>
      <c r="V79" s="16"/>
      <c r="W79" s="17"/>
      <c r="X79" s="14"/>
      <c r="Y79" s="15"/>
      <c r="Z79" s="16"/>
      <c r="AA79" s="17"/>
      <c r="AB79" s="17"/>
    </row>
    <row r="80" spans="8:28" x14ac:dyDescent="0.25">
      <c r="H80" s="14"/>
      <c r="I80" s="15"/>
      <c r="J80" s="16"/>
      <c r="K80" s="16"/>
      <c r="L80" s="17"/>
      <c r="M80" s="17"/>
      <c r="N80" s="17"/>
      <c r="O80" s="17"/>
      <c r="P80" s="17"/>
      <c r="Q80" s="17"/>
      <c r="R80" s="17"/>
      <c r="S80" s="17"/>
      <c r="T80" s="14"/>
      <c r="U80" s="15"/>
      <c r="V80" s="16"/>
      <c r="W80" s="17"/>
      <c r="X80" s="14"/>
      <c r="Y80" s="15"/>
      <c r="Z80" s="16"/>
      <c r="AA80" s="17"/>
      <c r="AB80" s="17"/>
    </row>
    <row r="81" spans="8:28" x14ac:dyDescent="0.25">
      <c r="H81" s="14"/>
      <c r="I81" s="15"/>
      <c r="J81" s="16"/>
      <c r="K81" s="16"/>
      <c r="L81" s="17"/>
      <c r="M81" s="17"/>
      <c r="N81" s="17"/>
      <c r="O81" s="17"/>
      <c r="P81" s="17"/>
      <c r="Q81" s="17"/>
      <c r="R81" s="17"/>
      <c r="S81" s="17"/>
      <c r="T81" s="14"/>
      <c r="U81" s="15"/>
      <c r="V81" s="16"/>
      <c r="W81" s="17"/>
      <c r="X81" s="14"/>
      <c r="Y81" s="15"/>
      <c r="Z81" s="16"/>
      <c r="AA81" s="17"/>
      <c r="AB81" s="17"/>
    </row>
    <row r="82" spans="8:28" x14ac:dyDescent="0.25">
      <c r="H82" s="14"/>
      <c r="I82" s="15"/>
      <c r="J82" s="16"/>
      <c r="K82" s="16"/>
      <c r="L82" s="17"/>
      <c r="M82" s="17"/>
      <c r="N82" s="17"/>
      <c r="O82" s="17"/>
      <c r="P82" s="17"/>
      <c r="Q82" s="17"/>
      <c r="R82" s="17"/>
      <c r="S82" s="17"/>
      <c r="T82" s="14"/>
      <c r="U82" s="15"/>
      <c r="V82" s="16"/>
      <c r="W82" s="17"/>
      <c r="X82" s="14"/>
      <c r="Y82" s="15"/>
      <c r="Z82" s="16"/>
      <c r="AA82" s="17"/>
      <c r="AB82" s="17"/>
    </row>
    <row r="83" spans="8:28" x14ac:dyDescent="0.25">
      <c r="H83" s="14"/>
      <c r="I83" s="15"/>
      <c r="J83" s="16"/>
      <c r="K83" s="16"/>
      <c r="L83" s="17"/>
      <c r="M83" s="17"/>
      <c r="N83" s="17"/>
      <c r="O83" s="17"/>
      <c r="P83" s="17"/>
      <c r="Q83" s="17"/>
      <c r="R83" s="17"/>
      <c r="S83" s="17"/>
      <c r="T83" s="14"/>
      <c r="U83" s="15"/>
      <c r="V83" s="16"/>
      <c r="W83" s="17"/>
      <c r="X83" s="14"/>
      <c r="Y83" s="15"/>
      <c r="Z83" s="16"/>
      <c r="AA83" s="17"/>
      <c r="AB83" s="17"/>
    </row>
    <row r="84" spans="8:28" x14ac:dyDescent="0.25">
      <c r="H84" s="14"/>
      <c r="I84" s="15"/>
      <c r="J84" s="16"/>
      <c r="K84" s="16"/>
      <c r="L84" s="17"/>
      <c r="M84" s="17"/>
      <c r="N84" s="17"/>
      <c r="O84" s="17"/>
      <c r="P84" s="17"/>
      <c r="Q84" s="17"/>
      <c r="R84" s="17"/>
      <c r="S84" s="17"/>
      <c r="T84" s="15"/>
      <c r="U84" s="15"/>
      <c r="V84" s="16"/>
      <c r="W84" s="17"/>
      <c r="X84" s="15"/>
      <c r="Y84" s="15"/>
      <c r="Z84" s="16"/>
      <c r="AA84" s="17"/>
      <c r="AB84" s="17"/>
    </row>
    <row r="85" spans="8:28" x14ac:dyDescent="0.25">
      <c r="H85" s="14"/>
      <c r="I85" s="15"/>
      <c r="J85" s="16"/>
      <c r="K85" s="16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</row>
    <row r="86" spans="8:28" x14ac:dyDescent="0.25">
      <c r="H86" s="14"/>
      <c r="I86" s="15"/>
      <c r="J86" s="16"/>
      <c r="K86" s="16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</row>
    <row r="87" spans="8:28" x14ac:dyDescent="0.25">
      <c r="H87" s="14"/>
      <c r="I87" s="15"/>
      <c r="J87" s="16"/>
      <c r="K87" s="16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</row>
    <row r="88" spans="8:28" x14ac:dyDescent="0.25">
      <c r="H88" s="14"/>
      <c r="I88" s="15"/>
      <c r="J88" s="16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</row>
    <row r="89" spans="8:28" x14ac:dyDescent="0.25">
      <c r="H89" s="14"/>
      <c r="I89" s="15"/>
      <c r="J89" s="16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</row>
    <row r="90" spans="8:28" x14ac:dyDescent="0.25">
      <c r="H90" s="14"/>
      <c r="I90" s="15"/>
      <c r="J90" s="16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</row>
    <row r="91" spans="8:28" x14ac:dyDescent="0.25">
      <c r="H91" s="14"/>
      <c r="I91" s="15"/>
      <c r="J91" s="16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</row>
    <row r="92" spans="8:28" x14ac:dyDescent="0.25">
      <c r="H92" s="14"/>
      <c r="I92" s="15"/>
      <c r="J92" s="16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</row>
    <row r="93" spans="8:28" x14ac:dyDescent="0.25">
      <c r="H93" s="14"/>
      <c r="I93" s="15"/>
      <c r="J93" s="16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</row>
    <row r="94" spans="8:28" x14ac:dyDescent="0.25">
      <c r="H94" s="14"/>
      <c r="I94" s="15"/>
      <c r="J94" s="16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</row>
    <row r="95" spans="8:28" x14ac:dyDescent="0.25">
      <c r="H95" s="14"/>
      <c r="I95" s="15"/>
      <c r="J95" s="16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</row>
    <row r="96" spans="8:28" x14ac:dyDescent="0.25">
      <c r="H96" s="14"/>
      <c r="I96" s="15"/>
      <c r="J96" s="16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</row>
    <row r="97" spans="8:28" x14ac:dyDescent="0.25">
      <c r="H97" s="14"/>
      <c r="I97" s="15"/>
      <c r="J97" s="16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</row>
    <row r="98" spans="8:28" x14ac:dyDescent="0.25">
      <c r="H98" s="14"/>
      <c r="I98" s="15"/>
      <c r="J98" s="16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</row>
    <row r="99" spans="8:28" x14ac:dyDescent="0.25">
      <c r="H99" s="14"/>
      <c r="I99" s="15"/>
      <c r="J99" s="16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</row>
    <row r="100" spans="8:28" x14ac:dyDescent="0.25">
      <c r="H100" s="14"/>
      <c r="I100" s="15"/>
      <c r="J100" s="16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</row>
    <row r="101" spans="8:28" x14ac:dyDescent="0.25">
      <c r="H101" s="14"/>
      <c r="I101" s="15"/>
      <c r="J101" s="16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</row>
    <row r="102" spans="8:28" x14ac:dyDescent="0.25">
      <c r="H102" s="14"/>
      <c r="I102" s="15"/>
      <c r="J102" s="16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</row>
    <row r="103" spans="8:28" x14ac:dyDescent="0.25">
      <c r="H103" s="14"/>
      <c r="I103" s="15"/>
      <c r="J103" s="16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</row>
    <row r="104" spans="8:28" x14ac:dyDescent="0.25">
      <c r="H104" s="14"/>
      <c r="I104" s="15"/>
      <c r="J104" s="16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</row>
    <row r="105" spans="8:28" x14ac:dyDescent="0.25">
      <c r="H105" s="14"/>
      <c r="I105" s="15"/>
      <c r="J105" s="16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</row>
    <row r="106" spans="8:28" x14ac:dyDescent="0.25">
      <c r="H106" s="14"/>
      <c r="I106" s="15"/>
      <c r="J106" s="16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</row>
    <row r="107" spans="8:28" x14ac:dyDescent="0.25">
      <c r="H107" s="14"/>
      <c r="I107" s="15"/>
      <c r="J107" s="16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</row>
    <row r="108" spans="8:28" x14ac:dyDescent="0.25">
      <c r="H108" s="14"/>
      <c r="I108" s="15"/>
      <c r="J108" s="16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</row>
    <row r="109" spans="8:28" x14ac:dyDescent="0.25">
      <c r="H109" s="14"/>
      <c r="I109" s="15"/>
      <c r="J109" s="16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</row>
    <row r="110" spans="8:28" x14ac:dyDescent="0.25">
      <c r="H110" s="14"/>
      <c r="I110" s="15"/>
      <c r="J110" s="16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</row>
    <row r="111" spans="8:28" x14ac:dyDescent="0.25">
      <c r="H111" s="14"/>
      <c r="I111" s="15"/>
      <c r="J111" s="16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</row>
    <row r="112" spans="8:28" x14ac:dyDescent="0.25">
      <c r="H112" s="14"/>
      <c r="I112" s="15"/>
      <c r="J112" s="16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</row>
    <row r="113" spans="8:28" x14ac:dyDescent="0.25">
      <c r="H113" s="14"/>
      <c r="I113" s="15"/>
      <c r="J113" s="16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</row>
    <row r="114" spans="8:28" x14ac:dyDescent="0.25">
      <c r="H114" s="2"/>
      <c r="I114" s="3"/>
      <c r="J114" s="5"/>
    </row>
    <row r="115" spans="8:28" x14ac:dyDescent="0.25">
      <c r="H115" s="2"/>
      <c r="I115" s="3"/>
      <c r="J115" s="5"/>
    </row>
    <row r="116" spans="8:28" x14ac:dyDescent="0.25">
      <c r="H116" s="2"/>
      <c r="I116" s="3"/>
      <c r="J116" s="5"/>
    </row>
    <row r="117" spans="8:28" x14ac:dyDescent="0.25">
      <c r="H117" s="2"/>
      <c r="I117" s="3"/>
      <c r="J117" s="5"/>
    </row>
    <row r="118" spans="8:28" x14ac:dyDescent="0.25">
      <c r="H118" s="2"/>
      <c r="I118" s="3"/>
      <c r="J118" s="5"/>
    </row>
    <row r="119" spans="8:28" x14ac:dyDescent="0.25">
      <c r="H119" s="2"/>
      <c r="I119" s="3"/>
      <c r="J119" s="5"/>
    </row>
    <row r="120" spans="8:28" x14ac:dyDescent="0.25">
      <c r="H120" s="2"/>
      <c r="I120" s="3"/>
      <c r="J120" s="5"/>
    </row>
    <row r="121" spans="8:28" x14ac:dyDescent="0.25">
      <c r="H121" s="2"/>
      <c r="I121" s="3"/>
      <c r="J121" s="5"/>
    </row>
    <row r="122" spans="8:28" x14ac:dyDescent="0.25">
      <c r="H122" s="2"/>
      <c r="I122" s="3"/>
      <c r="J122" s="5"/>
    </row>
    <row r="123" spans="8:28" x14ac:dyDescent="0.25">
      <c r="H123" s="2"/>
      <c r="I123" s="3"/>
      <c r="J123" s="5"/>
    </row>
    <row r="124" spans="8:28" x14ac:dyDescent="0.25">
      <c r="H124" s="2"/>
      <c r="I124" s="3"/>
      <c r="J124" s="5"/>
    </row>
    <row r="125" spans="8:28" x14ac:dyDescent="0.25">
      <c r="H125" s="2"/>
      <c r="I125" s="3"/>
      <c r="J125" s="5"/>
    </row>
    <row r="126" spans="8:28" x14ac:dyDescent="0.25">
      <c r="H126" s="2"/>
      <c r="I126" s="3"/>
      <c r="J126" s="5"/>
    </row>
    <row r="127" spans="8:28" x14ac:dyDescent="0.25">
      <c r="H127" s="2"/>
      <c r="I127" s="3"/>
      <c r="J127" s="5"/>
    </row>
    <row r="128" spans="8:28" x14ac:dyDescent="0.25">
      <c r="H128" s="2"/>
      <c r="I128" s="3"/>
      <c r="J128" s="5"/>
    </row>
    <row r="129" spans="8:10" x14ac:dyDescent="0.25">
      <c r="H129" s="2"/>
      <c r="I129" s="3"/>
      <c r="J129" s="5"/>
    </row>
    <row r="130" spans="8:10" x14ac:dyDescent="0.25">
      <c r="H130" s="2"/>
      <c r="I130" s="3"/>
      <c r="J130" s="5"/>
    </row>
    <row r="131" spans="8:10" x14ac:dyDescent="0.25">
      <c r="H131" s="2"/>
      <c r="I131" s="3"/>
      <c r="J131" s="5"/>
    </row>
    <row r="132" spans="8:10" x14ac:dyDescent="0.25">
      <c r="H132" s="2"/>
      <c r="I132" s="3"/>
      <c r="J132" s="5"/>
    </row>
    <row r="133" spans="8:10" x14ac:dyDescent="0.25">
      <c r="H133" s="2"/>
      <c r="I133" s="3"/>
      <c r="J133" s="5"/>
    </row>
    <row r="134" spans="8:10" x14ac:dyDescent="0.25">
      <c r="H134" s="2"/>
      <c r="I134" s="3"/>
      <c r="J134" s="5"/>
    </row>
    <row r="135" spans="8:10" x14ac:dyDescent="0.25">
      <c r="H135" s="2"/>
      <c r="I135" s="3"/>
      <c r="J135" s="5"/>
    </row>
    <row r="136" spans="8:10" x14ac:dyDescent="0.25">
      <c r="H136" s="2"/>
      <c r="I136" s="3"/>
      <c r="J136" s="5"/>
    </row>
    <row r="137" spans="8:10" x14ac:dyDescent="0.25">
      <c r="H137" s="2"/>
      <c r="I137" s="3"/>
      <c r="J137" s="5"/>
    </row>
    <row r="138" spans="8:10" x14ac:dyDescent="0.25">
      <c r="H138" s="2"/>
      <c r="I138" s="3"/>
      <c r="J138" s="5"/>
    </row>
    <row r="139" spans="8:10" x14ac:dyDescent="0.25">
      <c r="H139" s="2"/>
      <c r="I139" s="3"/>
      <c r="J139" s="5"/>
    </row>
    <row r="140" spans="8:10" x14ac:dyDescent="0.25">
      <c r="H140" s="2"/>
      <c r="I140" s="3"/>
      <c r="J140" s="5"/>
    </row>
    <row r="141" spans="8:10" x14ac:dyDescent="0.25">
      <c r="H141" s="2"/>
      <c r="I141" s="3"/>
      <c r="J141" s="5"/>
    </row>
    <row r="142" spans="8:10" x14ac:dyDescent="0.25">
      <c r="H142" s="2"/>
      <c r="I142" s="3"/>
      <c r="J142" s="5"/>
    </row>
    <row r="143" spans="8:10" x14ac:dyDescent="0.25">
      <c r="H143" s="2"/>
      <c r="I143" s="3"/>
      <c r="J143" s="5"/>
    </row>
    <row r="144" spans="8:10" ht="15.75" thickBot="1" x14ac:dyDescent="0.3">
      <c r="H144" s="4"/>
      <c r="I144" s="4"/>
      <c r="J144" s="6"/>
    </row>
    <row r="145" spans="8:10" x14ac:dyDescent="0.25">
      <c r="H145" s="7"/>
      <c r="I145" s="7"/>
      <c r="J145" s="7"/>
    </row>
  </sheetData>
  <sortState xmlns:xlrd2="http://schemas.microsoft.com/office/spreadsheetml/2017/richdata2" ref="P3:P22">
    <sortCondition ref="P3"/>
  </sortState>
  <mergeCells count="1">
    <mergeCell ref="A22:D2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2C633-5C8D-487D-B048-8DEE97448BC7}">
  <dimension ref="A1:S24"/>
  <sheetViews>
    <sheetView tabSelected="1" workbookViewId="0">
      <selection activeCell="M25" sqref="M25"/>
    </sheetView>
  </sheetViews>
  <sheetFormatPr defaultRowHeight="15" x14ac:dyDescent="0.25"/>
  <cols>
    <col min="1" max="1" width="29.7109375" customWidth="1"/>
    <col min="2" max="2" width="15.85546875" customWidth="1"/>
    <col min="3" max="3" width="13.7109375" customWidth="1"/>
    <col min="6" max="6" width="34.28515625" customWidth="1"/>
    <col min="7" max="7" width="16.28515625" customWidth="1"/>
    <col min="8" max="8" width="17.28515625" customWidth="1"/>
  </cols>
  <sheetData>
    <row r="1" spans="1:19" ht="15.75" x14ac:dyDescent="0.25">
      <c r="E1" s="33" t="s">
        <v>12</v>
      </c>
      <c r="F1" s="33"/>
      <c r="G1" s="33"/>
      <c r="H1" s="33"/>
      <c r="I1" s="33"/>
      <c r="J1" s="33"/>
    </row>
    <row r="3" spans="1:19" ht="15.75" x14ac:dyDescent="0.25">
      <c r="A3" s="26" t="s">
        <v>13</v>
      </c>
      <c r="B3" s="26">
        <v>5.2679999999999998</v>
      </c>
      <c r="C3" s="26">
        <v>6.5949999999999998</v>
      </c>
      <c r="D3" s="26">
        <v>6.2480000000000002</v>
      </c>
      <c r="E3" s="26">
        <v>6.4029999999999996</v>
      </c>
      <c r="F3" s="26">
        <v>7.4409999999999998</v>
      </c>
      <c r="G3" s="26">
        <v>8.2759999999999998</v>
      </c>
      <c r="H3" s="26">
        <v>6.1260000000000003</v>
      </c>
      <c r="I3" s="26">
        <v>5.7309999999999999</v>
      </c>
      <c r="J3" s="26">
        <v>5.5739999999999998</v>
      </c>
      <c r="K3" s="26">
        <v>4.4180000000000001</v>
      </c>
      <c r="L3" s="26">
        <v>5.641</v>
      </c>
      <c r="M3" s="26">
        <v>7.008</v>
      </c>
      <c r="N3" s="27">
        <v>7.9749999999999996</v>
      </c>
      <c r="O3" s="27"/>
    </row>
    <row r="4" spans="1:19" ht="15.75" x14ac:dyDescent="0.25">
      <c r="A4" s="26" t="s">
        <v>14</v>
      </c>
      <c r="B4" s="26">
        <v>4.4820000000000002</v>
      </c>
      <c r="C4" s="26">
        <v>6.24</v>
      </c>
      <c r="D4" s="26">
        <v>6.0629999999999997</v>
      </c>
      <c r="E4" s="26">
        <v>5.75</v>
      </c>
      <c r="F4" s="26">
        <v>7.05</v>
      </c>
      <c r="G4" s="26">
        <v>6.3559999999999999</v>
      </c>
      <c r="H4" s="26">
        <v>5.7729999999999997</v>
      </c>
      <c r="I4" s="26">
        <v>4.1500000000000004</v>
      </c>
      <c r="J4" s="26">
        <v>6.351</v>
      </c>
      <c r="K4" s="26">
        <v>5.3449999999999998</v>
      </c>
      <c r="L4" s="26">
        <v>6.9</v>
      </c>
      <c r="M4" s="26">
        <v>6.2210000000000001</v>
      </c>
      <c r="N4" s="26">
        <v>5.6660000000000004</v>
      </c>
      <c r="O4" s="26">
        <v>8.2789999999999999</v>
      </c>
      <c r="P4" s="35">
        <v>8.2789999999999999</v>
      </c>
      <c r="Q4" s="35">
        <v>5.27</v>
      </c>
      <c r="R4" s="35">
        <v>7.7160000000000002</v>
      </c>
      <c r="S4" s="35">
        <v>5.5359999999999996</v>
      </c>
    </row>
    <row r="7" spans="1:19" x14ac:dyDescent="0.25">
      <c r="A7" s="28"/>
      <c r="B7" s="7"/>
      <c r="C7" s="7"/>
    </row>
    <row r="8" spans="1:19" x14ac:dyDescent="0.25">
      <c r="A8" s="7"/>
      <c r="B8" s="7"/>
      <c r="C8" s="7"/>
    </row>
    <row r="9" spans="1:19" x14ac:dyDescent="0.25">
      <c r="A9" t="s">
        <v>19</v>
      </c>
    </row>
    <row r="10" spans="1:19" ht="15.75" thickBot="1" x14ac:dyDescent="0.3"/>
    <row r="11" spans="1:19" x14ac:dyDescent="0.25">
      <c r="A11" s="34"/>
      <c r="B11" s="34" t="s">
        <v>20</v>
      </c>
      <c r="C11" s="34" t="s">
        <v>21</v>
      </c>
      <c r="F11" t="s">
        <v>29</v>
      </c>
    </row>
    <row r="12" spans="1:19" ht="15.75" thickBot="1" x14ac:dyDescent="0.3">
      <c r="A12" s="3" t="s">
        <v>22</v>
      </c>
      <c r="B12" s="3">
        <v>6.3618461538461526</v>
      </c>
      <c r="C12" s="3">
        <v>6.1903888888888874</v>
      </c>
    </row>
    <row r="13" spans="1:19" x14ac:dyDescent="0.25">
      <c r="A13" s="3" t="s">
        <v>23</v>
      </c>
      <c r="B13" s="3">
        <v>1.20719180769233</v>
      </c>
      <c r="C13" s="3">
        <v>1.2989618986928302</v>
      </c>
      <c r="F13" s="34"/>
      <c r="G13" s="34" t="s">
        <v>20</v>
      </c>
      <c r="H13" s="34" t="s">
        <v>21</v>
      </c>
    </row>
    <row r="14" spans="1:19" x14ac:dyDescent="0.25">
      <c r="A14" s="3" t="s">
        <v>24</v>
      </c>
      <c r="B14" s="3">
        <v>13</v>
      </c>
      <c r="C14" s="3">
        <v>18</v>
      </c>
      <c r="F14" s="3" t="s">
        <v>22</v>
      </c>
      <c r="G14" s="3">
        <v>6.3618461538461526</v>
      </c>
      <c r="H14" s="3">
        <v>6.1903888888888874</v>
      </c>
    </row>
    <row r="15" spans="1:19" x14ac:dyDescent="0.25">
      <c r="A15" s="3" t="s">
        <v>25</v>
      </c>
      <c r="B15" s="3">
        <v>12</v>
      </c>
      <c r="C15" s="3">
        <v>17</v>
      </c>
      <c r="F15" s="3" t="s">
        <v>23</v>
      </c>
      <c r="G15" s="3">
        <v>1.20719180769233</v>
      </c>
      <c r="H15" s="3">
        <v>1.2989618986928302</v>
      </c>
    </row>
    <row r="16" spans="1:19" x14ac:dyDescent="0.25">
      <c r="A16" s="3" t="s">
        <v>26</v>
      </c>
      <c r="B16" s="3">
        <v>0.92935120645736402</v>
      </c>
      <c r="C16" s="3"/>
      <c r="F16" s="3" t="s">
        <v>24</v>
      </c>
      <c r="G16" s="3">
        <v>13</v>
      </c>
      <c r="H16" s="3">
        <v>18</v>
      </c>
    </row>
    <row r="17" spans="1:8" x14ac:dyDescent="0.25">
      <c r="A17" s="3" t="s">
        <v>27</v>
      </c>
      <c r="B17" s="3">
        <v>0.45866424769163983</v>
      </c>
      <c r="C17" s="3"/>
      <c r="F17" s="3" t="s">
        <v>30</v>
      </c>
      <c r="G17" s="3">
        <v>1.2609880679340026</v>
      </c>
      <c r="H17" s="3"/>
    </row>
    <row r="18" spans="1:8" ht="15.75" thickBot="1" x14ac:dyDescent="0.3">
      <c r="A18" s="4" t="s">
        <v>28</v>
      </c>
      <c r="B18" s="4">
        <v>0.38717087532041577</v>
      </c>
      <c r="C18" s="4"/>
      <c r="F18" s="3" t="s">
        <v>31</v>
      </c>
      <c r="G18" s="3">
        <v>0</v>
      </c>
      <c r="H18" s="3"/>
    </row>
    <row r="19" spans="1:8" x14ac:dyDescent="0.25">
      <c r="F19" s="3" t="s">
        <v>25</v>
      </c>
      <c r="G19" s="3">
        <v>29</v>
      </c>
      <c r="H19" s="3"/>
    </row>
    <row r="20" spans="1:8" x14ac:dyDescent="0.25">
      <c r="F20" s="3" t="s">
        <v>32</v>
      </c>
      <c r="G20" s="3">
        <v>0.41949567241157215</v>
      </c>
      <c r="H20" s="3"/>
    </row>
    <row r="21" spans="1:8" x14ac:dyDescent="0.25">
      <c r="F21" s="3" t="s">
        <v>33</v>
      </c>
      <c r="G21" s="3">
        <v>0.33897265956064004</v>
      </c>
      <c r="H21" s="3"/>
    </row>
    <row r="22" spans="1:8" x14ac:dyDescent="0.25">
      <c r="F22" s="3" t="s">
        <v>34</v>
      </c>
      <c r="G22" s="3">
        <v>1.6991270265334986</v>
      </c>
      <c r="H22" s="3"/>
    </row>
    <row r="23" spans="1:8" x14ac:dyDescent="0.25">
      <c r="F23" s="3" t="s">
        <v>35</v>
      </c>
      <c r="G23" s="3">
        <v>0.67794531912128009</v>
      </c>
      <c r="H23" s="3"/>
    </row>
    <row r="24" spans="1:8" ht="15.75" thickBot="1" x14ac:dyDescent="0.3">
      <c r="F24" s="4" t="s">
        <v>36</v>
      </c>
      <c r="G24" s="4">
        <v>2.0452296421327048</v>
      </c>
      <c r="H24" s="4"/>
    </row>
  </sheetData>
  <mergeCells count="1">
    <mergeCell ref="E1:J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Генерация данных</vt:lpstr>
      <vt:lpstr>Нормальное распределение</vt:lpstr>
      <vt:lpstr>Распределение Коши</vt:lpstr>
      <vt:lpstr>Робастность (норм.расп)</vt:lpstr>
      <vt:lpstr>Проверка гипотез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Student</cp:lastModifiedBy>
  <dcterms:created xsi:type="dcterms:W3CDTF">2015-03-20T06:57:47Z</dcterms:created>
  <dcterms:modified xsi:type="dcterms:W3CDTF">2023-09-16T14:50:13Z</dcterms:modified>
</cp:coreProperties>
</file>